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hidePivotFieldList="1" defaultThemeVersion="124226"/>
  <mc:AlternateContent xmlns:mc="http://schemas.openxmlformats.org/markup-compatibility/2006">
    <mc:Choice Requires="x15">
      <x15ac:absPath xmlns:x15ac="http://schemas.microsoft.com/office/spreadsheetml/2010/11/ac" url="C:\Users\sai kishore\Downloads\"/>
    </mc:Choice>
  </mc:AlternateContent>
  <xr:revisionPtr revIDLastSave="0" documentId="8_{D975D8B0-5A5C-4E12-9E22-08CDB855813D}" xr6:coauthVersionLast="47" xr6:coauthVersionMax="47" xr10:uidLastSave="{00000000-0000-0000-0000-000000000000}"/>
  <bookViews>
    <workbookView xWindow="-108" yWindow="-108" windowWidth="23256" windowHeight="12456" firstSheet="3" activeTab="9" xr2:uid="{00000000-000D-0000-FFFF-FFFF00000000}"/>
  </bookViews>
  <sheets>
    <sheet name="Sheet3" sheetId="3" r:id="rId1"/>
    <sheet name="Sheet4" sheetId="4" r:id="rId2"/>
    <sheet name="Sheet5" sheetId="5" r:id="rId3"/>
    <sheet name="Sheet6" sheetId="6" r:id="rId4"/>
    <sheet name="Sheet7" sheetId="7" r:id="rId5"/>
    <sheet name="Sheet8" sheetId="8" r:id="rId6"/>
    <sheet name="Sheet9" sheetId="9" r:id="rId7"/>
    <sheet name="Sheet10" sheetId="10" r:id="rId8"/>
    <sheet name="Sheet1" sheetId="1" r:id="rId9"/>
    <sheet name="DASH BOARD" sheetId="2" r:id="rId10"/>
  </sheets>
  <definedNames>
    <definedName name="Slicer_Awards_Won">#N/A</definedName>
    <definedName name="Slicer_Director">#N/A</definedName>
    <definedName name="Slicer_Genre">#N/A</definedName>
    <definedName name="Slicer_IMDB_Rating">#N/A</definedName>
    <definedName name="Slicer_Release_Type">#N/A</definedName>
    <definedName name="Slicer_Year">#N/A</definedName>
  </definedNames>
  <calcPr calcId="191029"/>
  <pivotCaches>
    <pivotCache cacheId="21"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<sst xmlns="http://schemas.openxmlformats.org/spreadsheetml/2006/main" count="980" uniqueCount="186">
  <si>
    <t>Movie Title</t>
  </si>
  <si>
    <t>Year</t>
  </si>
  <si>
    <t>Hero</t>
  </si>
  <si>
    <t>Genre</t>
  </si>
  <si>
    <t>IMDB Rating</t>
  </si>
  <si>
    <t>Box Office (₹ Cr)</t>
  </si>
  <si>
    <t>Duration (min)</t>
  </si>
  <si>
    <t>Director</t>
  </si>
  <si>
    <t>Language</t>
  </si>
  <si>
    <t>Release Type</t>
  </si>
  <si>
    <t>Budget (₹ Cr)</t>
  </si>
  <si>
    <t>Verdict</t>
  </si>
  <si>
    <t>ROI (%)</t>
  </si>
  <si>
    <t>Production House</t>
  </si>
  <si>
    <t>Awards Won</t>
  </si>
  <si>
    <t>OTT Platform</t>
  </si>
  <si>
    <t>Critic Rating (/10)</t>
  </si>
  <si>
    <t>User Votes</t>
  </si>
  <si>
    <t>Songs Count</t>
  </si>
  <si>
    <t>Shooting Location</t>
  </si>
  <si>
    <t>No. of Screens</t>
  </si>
  <si>
    <t>Digital Rights</t>
  </si>
  <si>
    <t>Satellite Rights (₹ Cr)</t>
  </si>
  <si>
    <t>Music Rights (₹ Cr)</t>
  </si>
  <si>
    <t>Opening Day Collection (₹ Cr)</t>
  </si>
  <si>
    <t>Baahubali 2</t>
  </si>
  <si>
    <t>Pushpa: The Rise</t>
  </si>
  <si>
    <t>RRR</t>
  </si>
  <si>
    <t>Ala Vaikunthapurramuloo</t>
  </si>
  <si>
    <t>Sarkaru Vaari Paata</t>
  </si>
  <si>
    <t>Saaho</t>
  </si>
  <si>
    <t>Jersey</t>
  </si>
  <si>
    <t>Maharshi</t>
  </si>
  <si>
    <t>Arjun Reddy</t>
  </si>
  <si>
    <t>Srimanthudu</t>
  </si>
  <si>
    <t>Eega</t>
  </si>
  <si>
    <t>DJ</t>
  </si>
  <si>
    <t>Bharat Ane Nenu</t>
  </si>
  <si>
    <t>Geetha Govindam</t>
  </si>
  <si>
    <t>F2</t>
  </si>
  <si>
    <t>Sye</t>
  </si>
  <si>
    <t>Magadheera</t>
  </si>
  <si>
    <t>SVSC</t>
  </si>
  <si>
    <t>Race Gurram</t>
  </si>
  <si>
    <t>Guntur Kaaram</t>
  </si>
  <si>
    <t>Bheemla Nayak</t>
  </si>
  <si>
    <t>Dasara</t>
  </si>
  <si>
    <t>Tuck Jagadish</t>
  </si>
  <si>
    <t>Vakeel Saab</t>
  </si>
  <si>
    <t>Love Story</t>
  </si>
  <si>
    <t>Shyam Singha Roy</t>
  </si>
  <si>
    <t>Major</t>
  </si>
  <si>
    <t>Karthikeya 2</t>
  </si>
  <si>
    <t>HIT: The First Case</t>
  </si>
  <si>
    <t>Godfather</t>
  </si>
  <si>
    <t>Acharya</t>
  </si>
  <si>
    <t>Uppena</t>
  </si>
  <si>
    <t>Palasa 1978</t>
  </si>
  <si>
    <t>Goodachari</t>
  </si>
  <si>
    <t>Agent Sai Srinivasa Athreya</t>
  </si>
  <si>
    <t>Middle Class Melodies</t>
  </si>
  <si>
    <t>Evaru</t>
  </si>
  <si>
    <t>Tholi Prema</t>
  </si>
  <si>
    <t>Nannaku Prematho</t>
  </si>
  <si>
    <t>Vedam</t>
  </si>
  <si>
    <t>Julayi</t>
  </si>
  <si>
    <t>Temper</t>
  </si>
  <si>
    <t>Businessman</t>
  </si>
  <si>
    <t>Attarintiki Daredi</t>
  </si>
  <si>
    <t>Gabbar Singh</t>
  </si>
  <si>
    <t>Khaleja</t>
  </si>
  <si>
    <t>Aagadu</t>
  </si>
  <si>
    <t>Janatha Garage</t>
  </si>
  <si>
    <t>Rangasthalam</t>
  </si>
  <si>
    <t>Mirchi</t>
  </si>
  <si>
    <t>Yevadu</t>
  </si>
  <si>
    <t>1: Nenokkadine</t>
  </si>
  <si>
    <t>Legend</t>
  </si>
  <si>
    <t>Lakshyam</t>
  </si>
  <si>
    <t>Kick</t>
  </si>
  <si>
    <t>Manam</t>
  </si>
  <si>
    <t>Hello</t>
  </si>
  <si>
    <t>Bimbisara</t>
  </si>
  <si>
    <t>Virata Parvam</t>
  </si>
  <si>
    <t>Pelli Choopulu</t>
  </si>
  <si>
    <t>RX100</t>
  </si>
  <si>
    <t>Ekkadiki Pothavu Chinnavada</t>
  </si>
  <si>
    <t>Oopiri</t>
  </si>
  <si>
    <t>Soggade Chinni Nayana</t>
  </si>
  <si>
    <t>Loukyam</t>
  </si>
  <si>
    <t>Balupu</t>
  </si>
  <si>
    <t>Bhale Bhale Magadivoy</t>
  </si>
  <si>
    <t>Sahasam</t>
  </si>
  <si>
    <t>Pandaga Chesko</t>
  </si>
  <si>
    <t>Okkadu</t>
  </si>
  <si>
    <t>Arya</t>
  </si>
  <si>
    <t>Arya 2</t>
  </si>
  <si>
    <t>Nuvvostanante Nenoddantana</t>
  </si>
  <si>
    <t>Pokiri</t>
  </si>
  <si>
    <t>Prabhas</t>
  </si>
  <si>
    <t>Allu Arjun</t>
  </si>
  <si>
    <t>NTR, Ram Charan</t>
  </si>
  <si>
    <t>Mahesh Babu</t>
  </si>
  <si>
    <t>Nani</t>
  </si>
  <si>
    <t>Vijay Deverakonda</t>
  </si>
  <si>
    <t>Venkatesh, Varun Tej</t>
  </si>
  <si>
    <t>Nithiin</t>
  </si>
  <si>
    <t>Ram Charan</t>
  </si>
  <si>
    <t>Mahesh Babu, Venkatesh</t>
  </si>
  <si>
    <t>Pawan Kalyan</t>
  </si>
  <si>
    <t>Sudheer Babu</t>
  </si>
  <si>
    <t>Vijay</t>
  </si>
  <si>
    <t>Ram</t>
  </si>
  <si>
    <t>Naga Chaitanya</t>
  </si>
  <si>
    <t>Ravi Teja</t>
  </si>
  <si>
    <t>Akhil</t>
  </si>
  <si>
    <t>Nikhil</t>
  </si>
  <si>
    <t>Action</t>
  </si>
  <si>
    <t>Drama</t>
  </si>
  <si>
    <t>Family</t>
  </si>
  <si>
    <t>Sports Drama</t>
  </si>
  <si>
    <t>Romance</t>
  </si>
  <si>
    <t>Fantasy</t>
  </si>
  <si>
    <t>Political</t>
  </si>
  <si>
    <t>Comedy</t>
  </si>
  <si>
    <t>Sports</t>
  </si>
  <si>
    <t>Thriller</t>
  </si>
  <si>
    <t>S.S. Rajamouli</t>
  </si>
  <si>
    <t>Sukumar</t>
  </si>
  <si>
    <t>Trivikram</t>
  </si>
  <si>
    <t>Parasuram</t>
  </si>
  <si>
    <t>Sujeeth</t>
  </si>
  <si>
    <t>Gowtam Tinnanuri</t>
  </si>
  <si>
    <t>Vamshi Paidipally</t>
  </si>
  <si>
    <t>Sandeep Reddy Vanga</t>
  </si>
  <si>
    <t>Koratala Siva</t>
  </si>
  <si>
    <t>Harish Shankar</t>
  </si>
  <si>
    <t>Anil Ravipudi</t>
  </si>
  <si>
    <t>Srikanth Addala</t>
  </si>
  <si>
    <t>Surender Reddy</t>
  </si>
  <si>
    <t>Venky Atluri</t>
  </si>
  <si>
    <t>Maruthi</t>
  </si>
  <si>
    <t>Krish</t>
  </si>
  <si>
    <t>Bobby</t>
  </si>
  <si>
    <t>Hanu Raghavapudi</t>
  </si>
  <si>
    <t>Boyapati Sreenu</t>
  </si>
  <si>
    <t>Sekhar Kammula</t>
  </si>
  <si>
    <t>Tamil (Dub)</t>
  </si>
  <si>
    <t>Pan-India</t>
  </si>
  <si>
    <t>Telugu</t>
  </si>
  <si>
    <t>Hindi (Dub)</t>
  </si>
  <si>
    <t>OTT</t>
  </si>
  <si>
    <t>Theatrical</t>
  </si>
  <si>
    <t>Flop</t>
  </si>
  <si>
    <t>Blockbuster</t>
  </si>
  <si>
    <t>Average</t>
  </si>
  <si>
    <t>Super Hit</t>
  </si>
  <si>
    <t>Hit</t>
  </si>
  <si>
    <t>Sri Venkateswara Creations</t>
  </si>
  <si>
    <t>Sithara Entertainments</t>
  </si>
  <si>
    <t>Geetha Arts</t>
  </si>
  <si>
    <t>Mythri Movie Makers</t>
  </si>
  <si>
    <t>UV Creations</t>
  </si>
  <si>
    <t>SonyLIV</t>
  </si>
  <si>
    <t>Aha</t>
  </si>
  <si>
    <t>Amazon Prime</t>
  </si>
  <si>
    <t>Zee5</t>
  </si>
  <si>
    <t>Netflix</t>
  </si>
  <si>
    <t>Hotstar</t>
  </si>
  <si>
    <t>Chennai</t>
  </si>
  <si>
    <t>Goa</t>
  </si>
  <si>
    <t>Vizag</t>
  </si>
  <si>
    <t>Hyderabad</t>
  </si>
  <si>
    <t>Kerala</t>
  </si>
  <si>
    <t>ZEE5</t>
  </si>
  <si>
    <t>Row Labels</t>
  </si>
  <si>
    <t>Grand Total</t>
  </si>
  <si>
    <t>Sum of Awards Won</t>
  </si>
  <si>
    <t>Sum of Budget (₹ Cr)</t>
  </si>
  <si>
    <t>Sum of Box Office (₹ Cr)</t>
  </si>
  <si>
    <t>Count of Movie Title</t>
  </si>
  <si>
    <t>Sum of Critic Rating (/10)</t>
  </si>
  <si>
    <t>Sum of ROI (%)</t>
  </si>
  <si>
    <t>Sum of No. of Screens</t>
  </si>
  <si>
    <t>Sum of IMDB Rating</t>
  </si>
  <si>
    <t>Sum of Opening Day Collection (₹ Cr)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</si>
</sst>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1">
    <border>
      <left/>
      <right/>
      <top/>
      <bottom/>
      <diagonal/>
    </border>
    <border>
      <left style="thin">
        <color auto="1"/>
      </left>
      <right style="thin">
        <color auto="1"/>
      </right>
      <top style="thin">
        <color auto="1"/>
      </top>
      <bottom style="thin">
        <color auto="1"/>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top"/>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PROJECT.xlsx]Sheet3!PivotTable1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Sheet3!$B$3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Sheet3!$A$4:$A$7</c:f>
              <c:strCache>
                <c:ptCount val="3"/>
                <c:pt idx="0">
                  <c:v>Sports</c:v>
                </c:pt>
                <c:pt idx="1">
                  <c:v>Political</c:v>
                </c:pt>
                <c:pt idx="2">
                  <c:v>Fantasy</c:v>
                </c:pt>
              </c:strCache>
            </c:strRef>
          </c:cat>
          <c:val>
            <c:numRef>
              <c:f>Sheet3!$B$4:$B$7</c:f>
              <c:numCache>
                <c:formatCode>General</c:formatCode>
                <c:ptCount val="3"/>
                <c:pt idx="0">
                  <c:v>9</c:v>
                </c:pt>
                <c:pt idx="1">
                  <c:v>3</c:v>
                </c:pt>
                <c:pt idx="2">
                  <c:v>10</c:v>
                </c:pt>
              </c:numCache>
            </c:numRef>
          </c:val>
          <c:extLst>
            <c:ext xmlns:c16="http://schemas.microsoft.com/office/drawing/2014/chart" uri="{C3380CC4-5D6E-409C-BE32-E72D297353CC}">
              <c16:uniqueId val="{00000002-FE9A-4354-90AA-3F0BAEF2BF5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PROJECT.xlsx]Sheet4!PivotTable2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Sum of Budget (₹ Cr)</c:v>
                </c:pt>
              </c:strCache>
            </c:strRef>
          </c:tx>
          <c:spPr>
            <a:solidFill>
              <a:schemeClr val="accent1"/>
            </a:solidFill>
            <a:ln>
              <a:noFill/>
            </a:ln>
            <a:effectLst/>
          </c:spPr>
          <c:invertIfNegative val="0"/>
          <c:cat>
            <c:strRef>
              <c:f>Sheet4!$A$4:$A$14</c:f>
              <c:strCache>
                <c:ptCount val="10"/>
                <c:pt idx="0">
                  <c:v>Action</c:v>
                </c:pt>
                <c:pt idx="1">
                  <c:v>Comedy</c:v>
                </c:pt>
                <c:pt idx="2">
                  <c:v>Drama</c:v>
                </c:pt>
                <c:pt idx="3">
                  <c:v>Family</c:v>
                </c:pt>
                <c:pt idx="4">
                  <c:v>Fantasy</c:v>
                </c:pt>
                <c:pt idx="5">
                  <c:v>Political</c:v>
                </c:pt>
                <c:pt idx="6">
                  <c:v>Romance</c:v>
                </c:pt>
                <c:pt idx="7">
                  <c:v>Sports</c:v>
                </c:pt>
                <c:pt idx="8">
                  <c:v>Sports Drama</c:v>
                </c:pt>
                <c:pt idx="9">
                  <c:v>Thriller</c:v>
                </c:pt>
              </c:strCache>
            </c:strRef>
          </c:cat>
          <c:val>
            <c:numRef>
              <c:f>Sheet4!$B$4:$B$14</c:f>
              <c:numCache>
                <c:formatCode>General</c:formatCode>
                <c:ptCount val="10"/>
                <c:pt idx="0">
                  <c:v>2449</c:v>
                </c:pt>
                <c:pt idx="1">
                  <c:v>1483</c:v>
                </c:pt>
                <c:pt idx="2">
                  <c:v>1626</c:v>
                </c:pt>
                <c:pt idx="3">
                  <c:v>1368</c:v>
                </c:pt>
                <c:pt idx="4">
                  <c:v>1954</c:v>
                </c:pt>
                <c:pt idx="5">
                  <c:v>488</c:v>
                </c:pt>
                <c:pt idx="6">
                  <c:v>1725</c:v>
                </c:pt>
                <c:pt idx="7">
                  <c:v>67</c:v>
                </c:pt>
                <c:pt idx="8">
                  <c:v>217</c:v>
                </c:pt>
                <c:pt idx="9">
                  <c:v>865</c:v>
                </c:pt>
              </c:numCache>
            </c:numRef>
          </c:val>
          <c:extLst>
            <c:ext xmlns:c16="http://schemas.microsoft.com/office/drawing/2014/chart" uri="{C3380CC4-5D6E-409C-BE32-E72D297353CC}">
              <c16:uniqueId val="{00000004-F949-42C9-8402-847666082639}"/>
            </c:ext>
          </c:extLst>
        </c:ser>
        <c:ser>
          <c:idx val="1"/>
          <c:order val="1"/>
          <c:tx>
            <c:strRef>
              <c:f>Sheet4!$C$3</c:f>
              <c:strCache>
                <c:ptCount val="1"/>
                <c:pt idx="0">
                  <c:v>Sum of Box Office (₹ Cr)</c:v>
                </c:pt>
              </c:strCache>
            </c:strRef>
          </c:tx>
          <c:spPr>
            <a:solidFill>
              <a:schemeClr val="accent2"/>
            </a:solidFill>
            <a:ln>
              <a:noFill/>
            </a:ln>
            <a:effectLst/>
          </c:spPr>
          <c:invertIfNegative val="0"/>
          <c:cat>
            <c:strRef>
              <c:f>Sheet4!$A$4:$A$14</c:f>
              <c:strCache>
                <c:ptCount val="10"/>
                <c:pt idx="0">
                  <c:v>Action</c:v>
                </c:pt>
                <c:pt idx="1">
                  <c:v>Comedy</c:v>
                </c:pt>
                <c:pt idx="2">
                  <c:v>Drama</c:v>
                </c:pt>
                <c:pt idx="3">
                  <c:v>Family</c:v>
                </c:pt>
                <c:pt idx="4">
                  <c:v>Fantasy</c:v>
                </c:pt>
                <c:pt idx="5">
                  <c:v>Political</c:v>
                </c:pt>
                <c:pt idx="6">
                  <c:v>Romance</c:v>
                </c:pt>
                <c:pt idx="7">
                  <c:v>Sports</c:v>
                </c:pt>
                <c:pt idx="8">
                  <c:v>Sports Drama</c:v>
                </c:pt>
                <c:pt idx="9">
                  <c:v>Thriller</c:v>
                </c:pt>
              </c:strCache>
            </c:strRef>
          </c:cat>
          <c:val>
            <c:numRef>
              <c:f>Sheet4!$C$4:$C$14</c:f>
              <c:numCache>
                <c:formatCode>General</c:formatCode>
                <c:ptCount val="10"/>
                <c:pt idx="0">
                  <c:v>6007</c:v>
                </c:pt>
                <c:pt idx="1">
                  <c:v>1589</c:v>
                </c:pt>
                <c:pt idx="2">
                  <c:v>4331</c:v>
                </c:pt>
                <c:pt idx="3">
                  <c:v>3249</c:v>
                </c:pt>
                <c:pt idx="4">
                  <c:v>3387</c:v>
                </c:pt>
                <c:pt idx="5">
                  <c:v>1967</c:v>
                </c:pt>
                <c:pt idx="6">
                  <c:v>2434</c:v>
                </c:pt>
                <c:pt idx="7">
                  <c:v>25</c:v>
                </c:pt>
                <c:pt idx="8">
                  <c:v>75</c:v>
                </c:pt>
                <c:pt idx="9">
                  <c:v>1823</c:v>
                </c:pt>
              </c:numCache>
            </c:numRef>
          </c:val>
          <c:extLst>
            <c:ext xmlns:c16="http://schemas.microsoft.com/office/drawing/2014/chart" uri="{C3380CC4-5D6E-409C-BE32-E72D297353CC}">
              <c16:uniqueId val="{00000005-F949-42C9-8402-847666082639}"/>
            </c:ext>
          </c:extLst>
        </c:ser>
        <c:dLbls>
          <c:showLegendKey val="0"/>
          <c:showVal val="0"/>
          <c:showCatName val="0"/>
          <c:showSerName val="0"/>
          <c:showPercent val="0"/>
          <c:showBubbleSize val="0"/>
        </c:dLbls>
        <c:gapWidth val="219"/>
        <c:overlap val="-27"/>
        <c:axId val="118432016"/>
        <c:axId val="118443536"/>
      </c:barChart>
      <c:catAx>
        <c:axId val="118432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43536"/>
        <c:crosses val="autoZero"/>
        <c:auto val="1"/>
        <c:lblAlgn val="ctr"/>
        <c:lblOffset val="100"/>
        <c:noMultiLvlLbl val="0"/>
      </c:catAx>
      <c:valAx>
        <c:axId val="118443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32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PROJECT.xlsx]Sheet6!PivotTable4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Sheet6!$B$3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cat>
            <c:strRef>
              <c:f>Sheet6!$A$4:$A$9</c:f>
              <c:strCache>
                <c:ptCount val="5"/>
                <c:pt idx="0">
                  <c:v>Average</c:v>
                </c:pt>
                <c:pt idx="1">
                  <c:v>Blockbuster</c:v>
                </c:pt>
                <c:pt idx="2">
                  <c:v>Flop</c:v>
                </c:pt>
                <c:pt idx="3">
                  <c:v>Hit</c:v>
                </c:pt>
                <c:pt idx="4">
                  <c:v>Super Hit</c:v>
                </c:pt>
              </c:strCache>
            </c:strRef>
          </c:cat>
          <c:val>
            <c:numRef>
              <c:f>Sheet6!$B$4:$B$9</c:f>
              <c:numCache>
                <c:formatCode>General</c:formatCode>
                <c:ptCount val="5"/>
                <c:pt idx="0">
                  <c:v>14</c:v>
                </c:pt>
                <c:pt idx="1">
                  <c:v>14</c:v>
                </c:pt>
                <c:pt idx="2">
                  <c:v>10</c:v>
                </c:pt>
                <c:pt idx="3">
                  <c:v>27</c:v>
                </c:pt>
                <c:pt idx="4">
                  <c:v>15</c:v>
                </c:pt>
              </c:numCache>
            </c:numRef>
          </c:val>
          <c:extLst>
            <c:ext xmlns:c16="http://schemas.microsoft.com/office/drawing/2014/chart" uri="{C3380CC4-5D6E-409C-BE32-E72D297353CC}">
              <c16:uniqueId val="{00000000-F49B-46EF-B692-E244C8D680A8}"/>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PROJECT.xlsx]Sheet7!PivotTable5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Sheet7!$B$3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Sheet7!$A$4:$A$9</c:f>
              <c:strCache>
                <c:ptCount val="5"/>
                <c:pt idx="0">
                  <c:v>Geetha Arts</c:v>
                </c:pt>
                <c:pt idx="1">
                  <c:v>Mythri Movie Makers</c:v>
                </c:pt>
                <c:pt idx="2">
                  <c:v>Sithara Entertainments</c:v>
                </c:pt>
                <c:pt idx="3">
                  <c:v>Sri Venkateswara Creations</c:v>
                </c:pt>
                <c:pt idx="4">
                  <c:v>UV Creations</c:v>
                </c:pt>
              </c:strCache>
            </c:strRef>
          </c:cat>
          <c:val>
            <c:numRef>
              <c:f>Sheet7!$B$4:$B$9</c:f>
              <c:numCache>
                <c:formatCode>General</c:formatCode>
                <c:ptCount val="5"/>
                <c:pt idx="0">
                  <c:v>143.39999999999995</c:v>
                </c:pt>
                <c:pt idx="1">
                  <c:v>96.600000000000009</c:v>
                </c:pt>
                <c:pt idx="2">
                  <c:v>127.40000000000002</c:v>
                </c:pt>
                <c:pt idx="3">
                  <c:v>130.30000000000001</c:v>
                </c:pt>
                <c:pt idx="4">
                  <c:v>71</c:v>
                </c:pt>
              </c:numCache>
            </c:numRef>
          </c:val>
          <c:smooth val="0"/>
          <c:extLst>
            <c:ext xmlns:c16="http://schemas.microsoft.com/office/drawing/2014/chart" uri="{C3380CC4-5D6E-409C-BE32-E72D297353CC}">
              <c16:uniqueId val="{00000000-18AB-4A3E-84BF-2A41B552AAE9}"/>
            </c:ext>
          </c:extLst>
        </c:ser>
        <c:dLbls>
          <c:dLblPos val="t"/>
          <c:showLegendKey val="0"/>
          <c:showVal val="0"/>
          <c:showCatName val="0"/>
          <c:showSerName val="0"/>
          <c:showPercent val="0"/>
          <c:showBubbleSize val="0"/>
        </c:dLbls>
        <c:upDownBars>
          <c:gapWidth val="219"/>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139414144"/>
        <c:axId val="139418464"/>
      </c:lineChart>
      <c:catAx>
        <c:axId val="1394141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18464"/>
        <c:crosses val="autoZero"/>
        <c:auto val="1"/>
        <c:lblAlgn val="ctr"/>
        <c:lblOffset val="100"/>
        <c:noMultiLvlLbl val="0"/>
      </c:catAx>
      <c:valAx>
        <c:axId val="13941846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14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PROJECT.xlsx]Sheet8!PivotTable6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Sheet8!$B$3</c:f>
              <c:strCache>
                <c:ptCount val="1"/>
                <c:pt idx="0">
                  <c:v>Sum of ROI (%)</c:v>
                </c:pt>
              </c:strCache>
            </c:strRef>
          </c:tx>
          <c:spPr>
            <a:solidFill>
              <a:schemeClr val="accent1"/>
            </a:solidFill>
            <a:ln>
              <a:noFill/>
            </a:ln>
            <a:effectLst/>
          </c:spPr>
          <c:invertIfNegative val="0"/>
          <c:cat>
            <c:strRef>
              <c:f>Sheet8!$A$4:$A$14</c:f>
              <c:strCache>
                <c:ptCount val="10"/>
                <c:pt idx="0">
                  <c:v>Action</c:v>
                </c:pt>
                <c:pt idx="1">
                  <c:v>Comedy</c:v>
                </c:pt>
                <c:pt idx="2">
                  <c:v>Drama</c:v>
                </c:pt>
                <c:pt idx="3">
                  <c:v>Family</c:v>
                </c:pt>
                <c:pt idx="4">
                  <c:v>Fantasy</c:v>
                </c:pt>
                <c:pt idx="5">
                  <c:v>Political</c:v>
                </c:pt>
                <c:pt idx="6">
                  <c:v>Romance</c:v>
                </c:pt>
                <c:pt idx="7">
                  <c:v>Sports</c:v>
                </c:pt>
                <c:pt idx="8">
                  <c:v>Sports Drama</c:v>
                </c:pt>
                <c:pt idx="9">
                  <c:v>Thriller</c:v>
                </c:pt>
              </c:strCache>
            </c:strRef>
          </c:cat>
          <c:val>
            <c:numRef>
              <c:f>Sheet8!$B$4:$B$14</c:f>
              <c:numCache>
                <c:formatCode>General</c:formatCode>
                <c:ptCount val="10"/>
                <c:pt idx="0">
                  <c:v>9731.5800000000017</c:v>
                </c:pt>
                <c:pt idx="1">
                  <c:v>5.230000000000004</c:v>
                </c:pt>
                <c:pt idx="2">
                  <c:v>4761.1800000000012</c:v>
                </c:pt>
                <c:pt idx="3">
                  <c:v>2650.3900000000003</c:v>
                </c:pt>
                <c:pt idx="4">
                  <c:v>1550.01</c:v>
                </c:pt>
                <c:pt idx="5">
                  <c:v>3096.2999999999997</c:v>
                </c:pt>
                <c:pt idx="6">
                  <c:v>763.57999999999993</c:v>
                </c:pt>
                <c:pt idx="7">
                  <c:v>-62.69</c:v>
                </c:pt>
                <c:pt idx="8">
                  <c:v>-65.44</c:v>
                </c:pt>
                <c:pt idx="9">
                  <c:v>532.43999999999994</c:v>
                </c:pt>
              </c:numCache>
            </c:numRef>
          </c:val>
          <c:extLst>
            <c:ext xmlns:c16="http://schemas.microsoft.com/office/drawing/2014/chart" uri="{C3380CC4-5D6E-409C-BE32-E72D297353CC}">
              <c16:uniqueId val="{00000000-529A-4F0E-9C04-7F85F4C7C5C3}"/>
            </c:ext>
          </c:extLst>
        </c:ser>
        <c:ser>
          <c:idx val="1"/>
          <c:order val="1"/>
          <c:tx>
            <c:strRef>
              <c:f>Sheet8!$C$3</c:f>
              <c:strCache>
                <c:ptCount val="1"/>
                <c:pt idx="0">
                  <c:v>Sum of No. of Screens</c:v>
                </c:pt>
              </c:strCache>
            </c:strRef>
          </c:tx>
          <c:spPr>
            <a:solidFill>
              <a:schemeClr val="accent2"/>
            </a:solidFill>
            <a:ln>
              <a:noFill/>
            </a:ln>
            <a:effectLst/>
          </c:spPr>
          <c:invertIfNegative val="0"/>
          <c:cat>
            <c:strRef>
              <c:f>Sheet8!$A$4:$A$14</c:f>
              <c:strCache>
                <c:ptCount val="10"/>
                <c:pt idx="0">
                  <c:v>Action</c:v>
                </c:pt>
                <c:pt idx="1">
                  <c:v>Comedy</c:v>
                </c:pt>
                <c:pt idx="2">
                  <c:v>Drama</c:v>
                </c:pt>
                <c:pt idx="3">
                  <c:v>Family</c:v>
                </c:pt>
                <c:pt idx="4">
                  <c:v>Fantasy</c:v>
                </c:pt>
                <c:pt idx="5">
                  <c:v>Political</c:v>
                </c:pt>
                <c:pt idx="6">
                  <c:v>Romance</c:v>
                </c:pt>
                <c:pt idx="7">
                  <c:v>Sports</c:v>
                </c:pt>
                <c:pt idx="8">
                  <c:v>Sports Drama</c:v>
                </c:pt>
                <c:pt idx="9">
                  <c:v>Thriller</c:v>
                </c:pt>
              </c:strCache>
            </c:strRef>
          </c:cat>
          <c:val>
            <c:numRef>
              <c:f>Sheet8!$C$4:$C$14</c:f>
              <c:numCache>
                <c:formatCode>General</c:formatCode>
                <c:ptCount val="10"/>
                <c:pt idx="0">
                  <c:v>20708</c:v>
                </c:pt>
                <c:pt idx="1">
                  <c:v>12573</c:v>
                </c:pt>
                <c:pt idx="2">
                  <c:v>15413</c:v>
                </c:pt>
                <c:pt idx="3">
                  <c:v>16309</c:v>
                </c:pt>
                <c:pt idx="4">
                  <c:v>18737</c:v>
                </c:pt>
                <c:pt idx="5">
                  <c:v>9122</c:v>
                </c:pt>
                <c:pt idx="6">
                  <c:v>12097</c:v>
                </c:pt>
                <c:pt idx="7">
                  <c:v>2396</c:v>
                </c:pt>
                <c:pt idx="8">
                  <c:v>2137</c:v>
                </c:pt>
                <c:pt idx="9">
                  <c:v>7886</c:v>
                </c:pt>
              </c:numCache>
            </c:numRef>
          </c:val>
          <c:extLst>
            <c:ext xmlns:c16="http://schemas.microsoft.com/office/drawing/2014/chart" uri="{C3380CC4-5D6E-409C-BE32-E72D297353CC}">
              <c16:uniqueId val="{00000001-529A-4F0E-9C04-7F85F4C7C5C3}"/>
            </c:ext>
          </c:extLst>
        </c:ser>
        <c:dLbls>
          <c:showLegendKey val="0"/>
          <c:showVal val="0"/>
          <c:showCatName val="0"/>
          <c:showSerName val="0"/>
          <c:showPercent val="0"/>
          <c:showBubbleSize val="0"/>
        </c:dLbls>
        <c:gapWidth val="150"/>
        <c:overlap val="100"/>
        <c:axId val="25003360"/>
        <c:axId val="25005760"/>
      </c:barChart>
      <c:catAx>
        <c:axId val="25003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05760"/>
        <c:crosses val="autoZero"/>
        <c:auto val="1"/>
        <c:lblAlgn val="ctr"/>
        <c:lblOffset val="100"/>
        <c:noMultiLvlLbl val="0"/>
      </c:catAx>
      <c:valAx>
        <c:axId val="25005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03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PROJECT.xlsx]Sheet8!PivotTable6</c:name>
    <c:fmtId val="7"/>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Sheet8!$B$3</c:f>
              <c:strCache>
                <c:ptCount val="1"/>
                <c:pt idx="0">
                  <c:v>Sum of ROI (%)</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cat>
            <c:strRef>
              <c:f>Sheet8!$A$4:$A$14</c:f>
              <c:strCache>
                <c:ptCount val="10"/>
                <c:pt idx="0">
                  <c:v>Action</c:v>
                </c:pt>
                <c:pt idx="1">
                  <c:v>Comedy</c:v>
                </c:pt>
                <c:pt idx="2">
                  <c:v>Drama</c:v>
                </c:pt>
                <c:pt idx="3">
                  <c:v>Family</c:v>
                </c:pt>
                <c:pt idx="4">
                  <c:v>Fantasy</c:v>
                </c:pt>
                <c:pt idx="5">
                  <c:v>Political</c:v>
                </c:pt>
                <c:pt idx="6">
                  <c:v>Romance</c:v>
                </c:pt>
                <c:pt idx="7">
                  <c:v>Sports</c:v>
                </c:pt>
                <c:pt idx="8">
                  <c:v>Sports Drama</c:v>
                </c:pt>
                <c:pt idx="9">
                  <c:v>Thriller</c:v>
                </c:pt>
              </c:strCache>
            </c:strRef>
          </c:cat>
          <c:val>
            <c:numRef>
              <c:f>Sheet8!$B$4:$B$14</c:f>
              <c:numCache>
                <c:formatCode>General</c:formatCode>
                <c:ptCount val="10"/>
                <c:pt idx="0">
                  <c:v>9731.5800000000017</c:v>
                </c:pt>
                <c:pt idx="1">
                  <c:v>5.230000000000004</c:v>
                </c:pt>
                <c:pt idx="2">
                  <c:v>4761.1800000000012</c:v>
                </c:pt>
                <c:pt idx="3">
                  <c:v>2650.3900000000003</c:v>
                </c:pt>
                <c:pt idx="4">
                  <c:v>1550.01</c:v>
                </c:pt>
                <c:pt idx="5">
                  <c:v>3096.2999999999997</c:v>
                </c:pt>
                <c:pt idx="6">
                  <c:v>763.57999999999993</c:v>
                </c:pt>
                <c:pt idx="7">
                  <c:v>-62.69</c:v>
                </c:pt>
                <c:pt idx="8">
                  <c:v>-65.44</c:v>
                </c:pt>
                <c:pt idx="9">
                  <c:v>532.43999999999994</c:v>
                </c:pt>
              </c:numCache>
            </c:numRef>
          </c:val>
          <c:extLst>
            <c:ext xmlns:c16="http://schemas.microsoft.com/office/drawing/2014/chart" uri="{C3380CC4-5D6E-409C-BE32-E72D297353CC}">
              <c16:uniqueId val="{00000000-CEEF-4DAA-BFE7-9740660D81F6}"/>
            </c:ext>
          </c:extLst>
        </c:ser>
        <c:ser>
          <c:idx val="1"/>
          <c:order val="1"/>
          <c:tx>
            <c:strRef>
              <c:f>Sheet8!$C$3</c:f>
              <c:strCache>
                <c:ptCount val="1"/>
                <c:pt idx="0">
                  <c:v>Sum of No. of Screens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cat>
            <c:strRef>
              <c:f>Sheet8!$A$4:$A$14</c:f>
              <c:strCache>
                <c:ptCount val="10"/>
                <c:pt idx="0">
                  <c:v>Action</c:v>
                </c:pt>
                <c:pt idx="1">
                  <c:v>Comedy</c:v>
                </c:pt>
                <c:pt idx="2">
                  <c:v>Drama</c:v>
                </c:pt>
                <c:pt idx="3">
                  <c:v>Family</c:v>
                </c:pt>
                <c:pt idx="4">
                  <c:v>Fantasy</c:v>
                </c:pt>
                <c:pt idx="5">
                  <c:v>Political</c:v>
                </c:pt>
                <c:pt idx="6">
                  <c:v>Romance</c:v>
                </c:pt>
                <c:pt idx="7">
                  <c:v>Sports</c:v>
                </c:pt>
                <c:pt idx="8">
                  <c:v>Sports Drama</c:v>
                </c:pt>
                <c:pt idx="9">
                  <c:v>Thriller</c:v>
                </c:pt>
              </c:strCache>
            </c:strRef>
          </c:cat>
          <c:val>
            <c:numRef>
              <c:f>Sheet8!$C$4:$C$14</c:f>
              <c:numCache>
                <c:formatCode>General</c:formatCode>
                <c:ptCount val="10"/>
                <c:pt idx="0">
                  <c:v>20708</c:v>
                </c:pt>
                <c:pt idx="1">
                  <c:v>12573</c:v>
                </c:pt>
                <c:pt idx="2">
                  <c:v>15413</c:v>
                </c:pt>
                <c:pt idx="3">
                  <c:v>16309</c:v>
                </c:pt>
                <c:pt idx="4">
                  <c:v>18737</c:v>
                </c:pt>
                <c:pt idx="5">
                  <c:v>9122</c:v>
                </c:pt>
                <c:pt idx="6">
                  <c:v>12097</c:v>
                </c:pt>
                <c:pt idx="7">
                  <c:v>2396</c:v>
                </c:pt>
                <c:pt idx="8">
                  <c:v>2137</c:v>
                </c:pt>
                <c:pt idx="9">
                  <c:v>7886</c:v>
                </c:pt>
              </c:numCache>
            </c:numRef>
          </c:val>
          <c:extLst>
            <c:ext xmlns:c16="http://schemas.microsoft.com/office/drawing/2014/chart" uri="{C3380CC4-5D6E-409C-BE32-E72D297353CC}">
              <c16:uniqueId val="{00000001-CEEF-4DAA-BFE7-9740660D81F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PROJECT.xlsx]Sheet9!PivotTable7</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Sheet9!$B$3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Sheet9!$A$4:$A$9</c:f>
              <c:strCache>
                <c:ptCount val="5"/>
                <c:pt idx="0">
                  <c:v>3</c:v>
                </c:pt>
                <c:pt idx="1">
                  <c:v>4</c:v>
                </c:pt>
                <c:pt idx="2">
                  <c:v>5</c:v>
                </c:pt>
                <c:pt idx="3">
                  <c:v>6</c:v>
                </c:pt>
                <c:pt idx="4">
                  <c:v>7</c:v>
                </c:pt>
              </c:strCache>
            </c:strRef>
          </c:cat>
          <c:val>
            <c:numRef>
              <c:f>Sheet9!$B$4:$B$9</c:f>
              <c:numCache>
                <c:formatCode>General</c:formatCode>
                <c:ptCount val="5"/>
                <c:pt idx="0">
                  <c:v>99.3</c:v>
                </c:pt>
                <c:pt idx="1">
                  <c:v>155.30000000000001</c:v>
                </c:pt>
                <c:pt idx="2">
                  <c:v>109.5</c:v>
                </c:pt>
                <c:pt idx="3">
                  <c:v>103.3</c:v>
                </c:pt>
                <c:pt idx="4">
                  <c:v>94.7</c:v>
                </c:pt>
              </c:numCache>
            </c:numRef>
          </c:val>
          <c:extLst>
            <c:ext xmlns:c16="http://schemas.microsoft.com/office/drawing/2014/chart" uri="{C3380CC4-5D6E-409C-BE32-E72D297353CC}">
              <c16:uniqueId val="{00000000-00E0-424C-B6F3-4AC03D4128D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PROJECT.xlsx]Sheet10!PivotTable8</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Sheet10!$B$3</c:f>
              <c:strCache>
                <c:ptCount val="1"/>
                <c:pt idx="0">
                  <c:v>Sum of Opening Day Collection (₹ Cr)</c:v>
                </c:pt>
              </c:strCache>
            </c:strRef>
          </c:tx>
          <c:spPr>
            <a:solidFill>
              <a:schemeClr val="accent1"/>
            </a:solidFill>
            <a:ln>
              <a:noFill/>
            </a:ln>
            <a:effectLst/>
          </c:spPr>
          <c:invertIfNegative val="0"/>
          <c:cat>
            <c:strRef>
              <c:f>Sheet10!$A$4:$A$22</c:f>
              <c:strCache>
                <c:ptCount val="18"/>
                <c:pt idx="0">
                  <c:v>Akhil</c:v>
                </c:pt>
                <c:pt idx="1">
                  <c:v>Allu Arjun</c:v>
                </c:pt>
                <c:pt idx="2">
                  <c:v>Mahesh Babu</c:v>
                </c:pt>
                <c:pt idx="3">
                  <c:v>Mahesh Babu, Venkatesh</c:v>
                </c:pt>
                <c:pt idx="4">
                  <c:v>Naga Chaitanya</c:v>
                </c:pt>
                <c:pt idx="5">
                  <c:v>Nani</c:v>
                </c:pt>
                <c:pt idx="6">
                  <c:v>Nikhil</c:v>
                </c:pt>
                <c:pt idx="7">
                  <c:v>Nithiin</c:v>
                </c:pt>
                <c:pt idx="8">
                  <c:v>NTR, Ram Charan</c:v>
                </c:pt>
                <c:pt idx="9">
                  <c:v>Pawan Kalyan</c:v>
                </c:pt>
                <c:pt idx="10">
                  <c:v>Prabhas</c:v>
                </c:pt>
                <c:pt idx="11">
                  <c:v>Ram</c:v>
                </c:pt>
                <c:pt idx="12">
                  <c:v>Ram Charan</c:v>
                </c:pt>
                <c:pt idx="13">
                  <c:v>Ravi Teja</c:v>
                </c:pt>
                <c:pt idx="14">
                  <c:v>Sudheer Babu</c:v>
                </c:pt>
                <c:pt idx="15">
                  <c:v>Venkatesh, Varun Tej</c:v>
                </c:pt>
                <c:pt idx="16">
                  <c:v>Vijay</c:v>
                </c:pt>
                <c:pt idx="17">
                  <c:v>Vijay Deverakonda</c:v>
                </c:pt>
              </c:strCache>
            </c:strRef>
          </c:cat>
          <c:val>
            <c:numRef>
              <c:f>Sheet10!$B$4:$B$22</c:f>
              <c:numCache>
                <c:formatCode>General</c:formatCode>
                <c:ptCount val="18"/>
                <c:pt idx="0">
                  <c:v>127.63999999999999</c:v>
                </c:pt>
                <c:pt idx="1">
                  <c:v>79.680000000000007</c:v>
                </c:pt>
                <c:pt idx="2">
                  <c:v>149.45000000000002</c:v>
                </c:pt>
                <c:pt idx="3">
                  <c:v>3.18</c:v>
                </c:pt>
                <c:pt idx="4">
                  <c:v>281.16000000000003</c:v>
                </c:pt>
                <c:pt idx="5">
                  <c:v>384.33000000000004</c:v>
                </c:pt>
                <c:pt idx="6">
                  <c:v>2.88</c:v>
                </c:pt>
                <c:pt idx="7">
                  <c:v>144.68</c:v>
                </c:pt>
                <c:pt idx="8">
                  <c:v>2.73</c:v>
                </c:pt>
                <c:pt idx="9">
                  <c:v>244.54000000000002</c:v>
                </c:pt>
                <c:pt idx="10">
                  <c:v>43.81</c:v>
                </c:pt>
                <c:pt idx="11">
                  <c:v>154.34</c:v>
                </c:pt>
                <c:pt idx="12">
                  <c:v>8.66</c:v>
                </c:pt>
                <c:pt idx="13">
                  <c:v>106.2</c:v>
                </c:pt>
                <c:pt idx="14">
                  <c:v>128.13</c:v>
                </c:pt>
                <c:pt idx="15">
                  <c:v>22.29</c:v>
                </c:pt>
                <c:pt idx="16">
                  <c:v>126.9</c:v>
                </c:pt>
                <c:pt idx="17">
                  <c:v>16.239999999999998</c:v>
                </c:pt>
              </c:numCache>
            </c:numRef>
          </c:val>
          <c:extLst>
            <c:ext xmlns:c16="http://schemas.microsoft.com/office/drawing/2014/chart" uri="{C3380CC4-5D6E-409C-BE32-E72D297353CC}">
              <c16:uniqueId val="{00000000-CDC7-49E2-910F-2EFAEF653CDA}"/>
            </c:ext>
          </c:extLst>
        </c:ser>
        <c:dLbls>
          <c:showLegendKey val="0"/>
          <c:showVal val="0"/>
          <c:showCatName val="0"/>
          <c:showSerName val="0"/>
          <c:showPercent val="0"/>
          <c:showBubbleSize val="0"/>
        </c:dLbls>
        <c:gapWidth val="150"/>
        <c:axId val="309400032"/>
        <c:axId val="309400512"/>
      </c:barChart>
      <c:lineChart>
        <c:grouping val="standard"/>
        <c:varyColors val="0"/>
        <c:ser>
          <c:idx val="1"/>
          <c:order val="1"/>
          <c:tx>
            <c:strRef>
              <c:f>Sheet10!$C$3</c:f>
              <c:strCache>
                <c:ptCount val="1"/>
                <c:pt idx="0">
                  <c:v>Sum of ROI (%)</c:v>
                </c:pt>
              </c:strCache>
            </c:strRef>
          </c:tx>
          <c:spPr>
            <a:ln w="28575" cap="rnd">
              <a:solidFill>
                <a:schemeClr val="accent2"/>
              </a:solidFill>
              <a:round/>
            </a:ln>
            <a:effectLst/>
          </c:spPr>
          <c:marker>
            <c:symbol val="none"/>
          </c:marker>
          <c:cat>
            <c:strRef>
              <c:f>Sheet10!$A$4:$A$22</c:f>
              <c:strCache>
                <c:ptCount val="18"/>
                <c:pt idx="0">
                  <c:v>Akhil</c:v>
                </c:pt>
                <c:pt idx="1">
                  <c:v>Allu Arjun</c:v>
                </c:pt>
                <c:pt idx="2">
                  <c:v>Mahesh Babu</c:v>
                </c:pt>
                <c:pt idx="3">
                  <c:v>Mahesh Babu, Venkatesh</c:v>
                </c:pt>
                <c:pt idx="4">
                  <c:v>Naga Chaitanya</c:v>
                </c:pt>
                <c:pt idx="5">
                  <c:v>Nani</c:v>
                </c:pt>
                <c:pt idx="6">
                  <c:v>Nikhil</c:v>
                </c:pt>
                <c:pt idx="7">
                  <c:v>Nithiin</c:v>
                </c:pt>
                <c:pt idx="8">
                  <c:v>NTR, Ram Charan</c:v>
                </c:pt>
                <c:pt idx="9">
                  <c:v>Pawan Kalyan</c:v>
                </c:pt>
                <c:pt idx="10">
                  <c:v>Prabhas</c:v>
                </c:pt>
                <c:pt idx="11">
                  <c:v>Ram</c:v>
                </c:pt>
                <c:pt idx="12">
                  <c:v>Ram Charan</c:v>
                </c:pt>
                <c:pt idx="13">
                  <c:v>Ravi Teja</c:v>
                </c:pt>
                <c:pt idx="14">
                  <c:v>Sudheer Babu</c:v>
                </c:pt>
                <c:pt idx="15">
                  <c:v>Venkatesh, Varun Tej</c:v>
                </c:pt>
                <c:pt idx="16">
                  <c:v>Vijay</c:v>
                </c:pt>
                <c:pt idx="17">
                  <c:v>Vijay Deverakonda</c:v>
                </c:pt>
              </c:strCache>
            </c:strRef>
          </c:cat>
          <c:val>
            <c:numRef>
              <c:f>Sheet10!$C$4:$C$22</c:f>
              <c:numCache>
                <c:formatCode>General</c:formatCode>
                <c:ptCount val="18"/>
                <c:pt idx="0">
                  <c:v>1743.0700000000002</c:v>
                </c:pt>
                <c:pt idx="1">
                  <c:v>2093.17</c:v>
                </c:pt>
                <c:pt idx="2">
                  <c:v>610.29</c:v>
                </c:pt>
                <c:pt idx="3">
                  <c:v>-40.22</c:v>
                </c:pt>
                <c:pt idx="4">
                  <c:v>1504.1599999999999</c:v>
                </c:pt>
                <c:pt idx="5">
                  <c:v>1801.9499999999998</c:v>
                </c:pt>
                <c:pt idx="6">
                  <c:v>459.68</c:v>
                </c:pt>
                <c:pt idx="7">
                  <c:v>502.88</c:v>
                </c:pt>
                <c:pt idx="8">
                  <c:v>3136.84</c:v>
                </c:pt>
                <c:pt idx="9">
                  <c:v>1721.57</c:v>
                </c:pt>
                <c:pt idx="10">
                  <c:v>7213.2</c:v>
                </c:pt>
                <c:pt idx="11">
                  <c:v>358</c:v>
                </c:pt>
                <c:pt idx="12">
                  <c:v>27.12</c:v>
                </c:pt>
                <c:pt idx="13">
                  <c:v>905.83</c:v>
                </c:pt>
                <c:pt idx="14">
                  <c:v>525.15</c:v>
                </c:pt>
                <c:pt idx="15">
                  <c:v>-36.94</c:v>
                </c:pt>
                <c:pt idx="16">
                  <c:v>503.91999999999996</c:v>
                </c:pt>
                <c:pt idx="17">
                  <c:v>-67.09</c:v>
                </c:pt>
              </c:numCache>
            </c:numRef>
          </c:val>
          <c:smooth val="0"/>
          <c:extLst>
            <c:ext xmlns:c16="http://schemas.microsoft.com/office/drawing/2014/chart" uri="{C3380CC4-5D6E-409C-BE32-E72D297353CC}">
              <c16:uniqueId val="{00000001-CDC7-49E2-910F-2EFAEF653CDA}"/>
            </c:ext>
          </c:extLst>
        </c:ser>
        <c:dLbls>
          <c:showLegendKey val="0"/>
          <c:showVal val="0"/>
          <c:showCatName val="0"/>
          <c:showSerName val="0"/>
          <c:showPercent val="0"/>
          <c:showBubbleSize val="0"/>
        </c:dLbls>
        <c:marker val="1"/>
        <c:smooth val="0"/>
        <c:axId val="118434896"/>
        <c:axId val="309452352"/>
      </c:lineChart>
      <c:catAx>
        <c:axId val="309400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400512"/>
        <c:auto val="1"/>
        <c:lblAlgn val="ctr"/>
        <c:lblOffset val="100"/>
        <c:noMultiLvlLbl val="0"/>
      </c:catAx>
      <c:valAx>
        <c:axId val="309400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400032"/>
        <c:crossBetween val="between"/>
      </c:valAx>
      <c:valAx>
        <c:axId val="309452352"/>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34896"/>
        <c:crosses val="max"/>
        <c:crossBetween val="between"/>
      </c:valAx>
      <c:catAx>
        <c:axId val="118434896"/>
        <c:scaling>
          <c:orientation val="minMax"/>
        </c:scaling>
        <c:delete val="1"/>
        <c:axPos val="b"/>
        <c:numFmt formatCode="General" sourceLinked="1"/>
        <c:majorTickMark val="none"/>
        <c:minorTickMark val="none"/>
        <c:tickLblPos val="nextTo"/>
        <c:crossAx val="309452352"/>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PROJECT.xlsx]Sheet6!PivotTable4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Sheet6!$B$3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256-4E98-A2E3-E33FAF7CC14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256-4E98-A2E3-E33FAF7CC14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256-4E98-A2E3-E33FAF7CC14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A256-4E98-A2E3-E33FAF7CC143}"/>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A256-4E98-A2E3-E33FAF7CC143}"/>
              </c:ext>
            </c:extLst>
          </c:dPt>
          <c:cat>
            <c:strRef>
              <c:f>Sheet6!$A$4:$A$9</c:f>
              <c:strCache>
                <c:ptCount val="5"/>
                <c:pt idx="0">
                  <c:v>Average</c:v>
                </c:pt>
                <c:pt idx="1">
                  <c:v>Blockbuster</c:v>
                </c:pt>
                <c:pt idx="2">
                  <c:v>Flop</c:v>
                </c:pt>
                <c:pt idx="3">
                  <c:v>Hit</c:v>
                </c:pt>
                <c:pt idx="4">
                  <c:v>Super Hit</c:v>
                </c:pt>
              </c:strCache>
            </c:strRef>
          </c:cat>
          <c:val>
            <c:numRef>
              <c:f>Sheet6!$B$4:$B$9</c:f>
              <c:numCache>
                <c:formatCode>General</c:formatCode>
                <c:ptCount val="5"/>
                <c:pt idx="0">
                  <c:v>14</c:v>
                </c:pt>
                <c:pt idx="1">
                  <c:v>14</c:v>
                </c:pt>
                <c:pt idx="2">
                  <c:v>10</c:v>
                </c:pt>
                <c:pt idx="3">
                  <c:v>27</c:v>
                </c:pt>
                <c:pt idx="4">
                  <c:v>15</c:v>
                </c:pt>
              </c:numCache>
            </c:numRef>
          </c:val>
          <c:extLst>
            <c:ext xmlns:c16="http://schemas.microsoft.com/office/drawing/2014/chart" uri="{C3380CC4-5D6E-409C-BE32-E72D297353CC}">
              <c16:uniqueId val="{0000000A-A256-4E98-A2E3-E33FAF7CC143}"/>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PROJECT.xlsx]Sheet6!PivotTable4</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Sheet6!$B$3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DCD-46C8-8FEB-578FFB14B18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DCD-46C8-8FEB-578FFB14B18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DCD-46C8-8FEB-578FFB14B180}"/>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ADCD-46C8-8FEB-578FFB14B180}"/>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ADCD-46C8-8FEB-578FFB14B180}"/>
              </c:ext>
            </c:extLst>
          </c:dPt>
          <c:cat>
            <c:strRef>
              <c:f>Sheet6!$A$4:$A$9</c:f>
              <c:strCache>
                <c:ptCount val="5"/>
                <c:pt idx="0">
                  <c:v>Average</c:v>
                </c:pt>
                <c:pt idx="1">
                  <c:v>Blockbuster</c:v>
                </c:pt>
                <c:pt idx="2">
                  <c:v>Flop</c:v>
                </c:pt>
                <c:pt idx="3">
                  <c:v>Hit</c:v>
                </c:pt>
                <c:pt idx="4">
                  <c:v>Super Hit</c:v>
                </c:pt>
              </c:strCache>
            </c:strRef>
          </c:cat>
          <c:val>
            <c:numRef>
              <c:f>Sheet6!$B$4:$B$9</c:f>
              <c:numCache>
                <c:formatCode>General</c:formatCode>
                <c:ptCount val="5"/>
                <c:pt idx="0">
                  <c:v>14</c:v>
                </c:pt>
                <c:pt idx="1">
                  <c:v>14</c:v>
                </c:pt>
                <c:pt idx="2">
                  <c:v>10</c:v>
                </c:pt>
                <c:pt idx="3">
                  <c:v>27</c:v>
                </c:pt>
                <c:pt idx="4">
                  <c:v>15</c:v>
                </c:pt>
              </c:numCache>
            </c:numRef>
          </c:val>
          <c:extLst>
            <c:ext xmlns:c16="http://schemas.microsoft.com/office/drawing/2014/chart" uri="{C3380CC4-5D6E-409C-BE32-E72D297353CC}">
              <c16:uniqueId val="{0000000A-ADCD-46C8-8FEB-578FFB14B18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PROJECT.xlsx]Sheet3!PivotTable1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AWARDS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pivotFmt>
      <c:pivotFmt>
        <c:idx val="25"/>
      </c:pivotFmt>
      <c:pivotFmt>
        <c:idx val="26"/>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pivotFmt>
      <c:pivotFmt>
        <c:idx val="29"/>
      </c:pivotFmt>
      <c:pivotFmt>
        <c:idx val="30"/>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pivotFmt>
      <c:pivotFmt>
        <c:idx val="33"/>
      </c:pivotFmt>
      <c:pivotFmt>
        <c:idx val="34"/>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bar"/>
        <c:grouping val="clustered"/>
        <c:varyColors val="0"/>
        <c:ser>
          <c:idx val="0"/>
          <c:order val="0"/>
          <c:tx>
            <c:strRef>
              <c:f>Sheet3!$B$3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Sheet3!$A$4:$A$7</c:f>
              <c:strCache>
                <c:ptCount val="3"/>
                <c:pt idx="0">
                  <c:v>Sports</c:v>
                </c:pt>
                <c:pt idx="1">
                  <c:v>Political</c:v>
                </c:pt>
                <c:pt idx="2">
                  <c:v>Fantasy</c:v>
                </c:pt>
              </c:strCache>
            </c:strRef>
          </c:cat>
          <c:val>
            <c:numRef>
              <c:f>Sheet3!$B$4:$B$7</c:f>
              <c:numCache>
                <c:formatCode>General</c:formatCode>
                <c:ptCount val="3"/>
                <c:pt idx="0">
                  <c:v>9</c:v>
                </c:pt>
                <c:pt idx="1">
                  <c:v>3</c:v>
                </c:pt>
                <c:pt idx="2">
                  <c:v>10</c:v>
                </c:pt>
              </c:numCache>
            </c:numRef>
          </c:val>
          <c:extLst>
            <c:ext xmlns:c16="http://schemas.microsoft.com/office/drawing/2014/chart" uri="{C3380CC4-5D6E-409C-BE32-E72D297353CC}">
              <c16:uniqueId val="{000000C8-7922-4A61-B10D-788F0DCC886D}"/>
            </c:ext>
          </c:extLst>
        </c:ser>
        <c:dLbls>
          <c:showLegendKey val="0"/>
          <c:showVal val="0"/>
          <c:showCatName val="0"/>
          <c:showSerName val="0"/>
          <c:showPercent val="0"/>
          <c:showBubbleSize val="0"/>
        </c:dLbls>
        <c:gapWidth val="100"/>
        <c:axId val="139387264"/>
        <c:axId val="139385824"/>
      </c:barChart>
      <c:valAx>
        <c:axId val="13938582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9387264"/>
        <c:crossBetween val="between"/>
      </c:valAx>
      <c:catAx>
        <c:axId val="139387264"/>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9385824"/>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PROJECT.xlsx]Sheet4!PivotTable2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COLLECTION</a:t>
            </a:r>
            <a:r>
              <a:rPr lang="en-IN" baseline="0"/>
              <a:t> WISE</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Sum of Budget (₹ Cr)</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Sheet4!$A$4:$A$14</c:f>
              <c:strCache>
                <c:ptCount val="10"/>
                <c:pt idx="0">
                  <c:v>Action</c:v>
                </c:pt>
                <c:pt idx="1">
                  <c:v>Comedy</c:v>
                </c:pt>
                <c:pt idx="2">
                  <c:v>Drama</c:v>
                </c:pt>
                <c:pt idx="3">
                  <c:v>Family</c:v>
                </c:pt>
                <c:pt idx="4">
                  <c:v>Fantasy</c:v>
                </c:pt>
                <c:pt idx="5">
                  <c:v>Political</c:v>
                </c:pt>
                <c:pt idx="6">
                  <c:v>Romance</c:v>
                </c:pt>
                <c:pt idx="7">
                  <c:v>Sports</c:v>
                </c:pt>
                <c:pt idx="8">
                  <c:v>Sports Drama</c:v>
                </c:pt>
                <c:pt idx="9">
                  <c:v>Thriller</c:v>
                </c:pt>
              </c:strCache>
            </c:strRef>
          </c:cat>
          <c:val>
            <c:numRef>
              <c:f>Sheet4!$B$4:$B$14</c:f>
              <c:numCache>
                <c:formatCode>General</c:formatCode>
                <c:ptCount val="10"/>
                <c:pt idx="0">
                  <c:v>2449</c:v>
                </c:pt>
                <c:pt idx="1">
                  <c:v>1483</c:v>
                </c:pt>
                <c:pt idx="2">
                  <c:v>1626</c:v>
                </c:pt>
                <c:pt idx="3">
                  <c:v>1368</c:v>
                </c:pt>
                <c:pt idx="4">
                  <c:v>1954</c:v>
                </c:pt>
                <c:pt idx="5">
                  <c:v>488</c:v>
                </c:pt>
                <c:pt idx="6">
                  <c:v>1725</c:v>
                </c:pt>
                <c:pt idx="7">
                  <c:v>67</c:v>
                </c:pt>
                <c:pt idx="8">
                  <c:v>217</c:v>
                </c:pt>
                <c:pt idx="9">
                  <c:v>865</c:v>
                </c:pt>
              </c:numCache>
            </c:numRef>
          </c:val>
          <c:extLst>
            <c:ext xmlns:c16="http://schemas.microsoft.com/office/drawing/2014/chart" uri="{C3380CC4-5D6E-409C-BE32-E72D297353CC}">
              <c16:uniqueId val="{00000004-F058-49F8-9A4D-B52272733A2D}"/>
            </c:ext>
          </c:extLst>
        </c:ser>
        <c:ser>
          <c:idx val="1"/>
          <c:order val="1"/>
          <c:tx>
            <c:strRef>
              <c:f>Sheet4!$C$3</c:f>
              <c:strCache>
                <c:ptCount val="1"/>
                <c:pt idx="0">
                  <c:v>Sum of Box Office (₹ Cr)</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Sheet4!$A$4:$A$14</c:f>
              <c:strCache>
                <c:ptCount val="10"/>
                <c:pt idx="0">
                  <c:v>Action</c:v>
                </c:pt>
                <c:pt idx="1">
                  <c:v>Comedy</c:v>
                </c:pt>
                <c:pt idx="2">
                  <c:v>Drama</c:v>
                </c:pt>
                <c:pt idx="3">
                  <c:v>Family</c:v>
                </c:pt>
                <c:pt idx="4">
                  <c:v>Fantasy</c:v>
                </c:pt>
                <c:pt idx="5">
                  <c:v>Political</c:v>
                </c:pt>
                <c:pt idx="6">
                  <c:v>Romance</c:v>
                </c:pt>
                <c:pt idx="7">
                  <c:v>Sports</c:v>
                </c:pt>
                <c:pt idx="8">
                  <c:v>Sports Drama</c:v>
                </c:pt>
                <c:pt idx="9">
                  <c:v>Thriller</c:v>
                </c:pt>
              </c:strCache>
            </c:strRef>
          </c:cat>
          <c:val>
            <c:numRef>
              <c:f>Sheet4!$C$4:$C$14</c:f>
              <c:numCache>
                <c:formatCode>General</c:formatCode>
                <c:ptCount val="10"/>
                <c:pt idx="0">
                  <c:v>6007</c:v>
                </c:pt>
                <c:pt idx="1">
                  <c:v>1589</c:v>
                </c:pt>
                <c:pt idx="2">
                  <c:v>4331</c:v>
                </c:pt>
                <c:pt idx="3">
                  <c:v>3249</c:v>
                </c:pt>
                <c:pt idx="4">
                  <c:v>3387</c:v>
                </c:pt>
                <c:pt idx="5">
                  <c:v>1967</c:v>
                </c:pt>
                <c:pt idx="6">
                  <c:v>2434</c:v>
                </c:pt>
                <c:pt idx="7">
                  <c:v>25</c:v>
                </c:pt>
                <c:pt idx="8">
                  <c:v>75</c:v>
                </c:pt>
                <c:pt idx="9">
                  <c:v>1823</c:v>
                </c:pt>
              </c:numCache>
            </c:numRef>
          </c:val>
          <c:extLst>
            <c:ext xmlns:c16="http://schemas.microsoft.com/office/drawing/2014/chart" uri="{C3380CC4-5D6E-409C-BE32-E72D297353CC}">
              <c16:uniqueId val="{00000005-F058-49F8-9A4D-B52272733A2D}"/>
            </c:ext>
          </c:extLst>
        </c:ser>
        <c:dLbls>
          <c:showLegendKey val="0"/>
          <c:showVal val="0"/>
          <c:showCatName val="0"/>
          <c:showSerName val="0"/>
          <c:showPercent val="0"/>
          <c:showBubbleSize val="0"/>
        </c:dLbls>
        <c:gapWidth val="100"/>
        <c:overlap val="-24"/>
        <c:axId val="118432016"/>
        <c:axId val="118443536"/>
      </c:barChart>
      <c:catAx>
        <c:axId val="118432016"/>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443536"/>
        <c:crosses val="autoZero"/>
        <c:auto val="1"/>
        <c:lblAlgn val="ctr"/>
        <c:lblOffset val="100"/>
        <c:noMultiLvlLbl val="0"/>
      </c:catAx>
      <c:valAx>
        <c:axId val="118443536"/>
        <c:scaling>
          <c:orientation val="minMax"/>
        </c:scaling>
        <c:delete val="0"/>
        <c:axPos val="l"/>
        <c:majorGridlines>
          <c:spPr>
            <a:ln w="9525" cap="flat" cmpd="sng" algn="ctr">
              <a:solidFill>
                <a:schemeClr val="lt1">
                  <a:lumMod val="95000"/>
                  <a:alpha val="10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432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PROJECT.xlsx]Sheet6!PivotTable4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VERDICT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197634778411319"/>
          <c:y val="0.27598425196850396"/>
          <c:w val="0.68276729417443505"/>
          <c:h val="0.59086760375112257"/>
        </c:manualLayout>
      </c:layout>
      <c:pie3DChart>
        <c:varyColors val="1"/>
        <c:ser>
          <c:idx val="0"/>
          <c:order val="0"/>
          <c:tx>
            <c:strRef>
              <c:f>Sheet6!$B$3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6995-4470-ABC2-4F72558B4F47}"/>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6995-4470-ABC2-4F72558B4F47}"/>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6995-4470-ABC2-4F72558B4F47}"/>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6995-4470-ABC2-4F72558B4F47}"/>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6995-4470-ABC2-4F72558B4F4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Sheet6!$A$4:$A$9</c:f>
              <c:strCache>
                <c:ptCount val="5"/>
                <c:pt idx="0">
                  <c:v>Average</c:v>
                </c:pt>
                <c:pt idx="1">
                  <c:v>Blockbuster</c:v>
                </c:pt>
                <c:pt idx="2">
                  <c:v>Flop</c:v>
                </c:pt>
                <c:pt idx="3">
                  <c:v>Hit</c:v>
                </c:pt>
                <c:pt idx="4">
                  <c:v>Super Hit</c:v>
                </c:pt>
              </c:strCache>
            </c:strRef>
          </c:cat>
          <c:val>
            <c:numRef>
              <c:f>Sheet6!$B$4:$B$9</c:f>
              <c:numCache>
                <c:formatCode>General</c:formatCode>
                <c:ptCount val="5"/>
                <c:pt idx="0">
                  <c:v>14</c:v>
                </c:pt>
                <c:pt idx="1">
                  <c:v>14</c:v>
                </c:pt>
                <c:pt idx="2">
                  <c:v>10</c:v>
                </c:pt>
                <c:pt idx="3">
                  <c:v>27</c:v>
                </c:pt>
                <c:pt idx="4">
                  <c:v>15</c:v>
                </c:pt>
              </c:numCache>
            </c:numRef>
          </c:val>
          <c:extLst>
            <c:ext xmlns:c16="http://schemas.microsoft.com/office/drawing/2014/chart" uri="{C3380CC4-5D6E-409C-BE32-E72D297353CC}">
              <c16:uniqueId val="{0000000A-6995-4470-ABC2-4F72558B4F47}"/>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PROJECT.xlsx]Sheet7!PivotTable5</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CRITIC</a:t>
            </a:r>
            <a:r>
              <a:rPr lang="en-US" baseline="0"/>
              <a:t> RATINGS</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35870516185477"/>
          <c:y val="0.26737933799941677"/>
          <c:w val="0.73458530183727033"/>
          <c:h val="0.29377478856809564"/>
        </c:manualLayout>
      </c:layout>
      <c:lineChart>
        <c:grouping val="standard"/>
        <c:varyColors val="0"/>
        <c:ser>
          <c:idx val="0"/>
          <c:order val="0"/>
          <c:tx>
            <c:strRef>
              <c:f>Sheet7!$B$3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Sheet7!$A$4:$A$9</c:f>
              <c:strCache>
                <c:ptCount val="5"/>
                <c:pt idx="0">
                  <c:v>Geetha Arts</c:v>
                </c:pt>
                <c:pt idx="1">
                  <c:v>Mythri Movie Makers</c:v>
                </c:pt>
                <c:pt idx="2">
                  <c:v>Sithara Entertainments</c:v>
                </c:pt>
                <c:pt idx="3">
                  <c:v>Sri Venkateswara Creations</c:v>
                </c:pt>
                <c:pt idx="4">
                  <c:v>UV Creations</c:v>
                </c:pt>
              </c:strCache>
            </c:strRef>
          </c:cat>
          <c:val>
            <c:numRef>
              <c:f>Sheet7!$B$4:$B$9</c:f>
              <c:numCache>
                <c:formatCode>General</c:formatCode>
                <c:ptCount val="5"/>
                <c:pt idx="0">
                  <c:v>143.39999999999995</c:v>
                </c:pt>
                <c:pt idx="1">
                  <c:v>96.600000000000009</c:v>
                </c:pt>
                <c:pt idx="2">
                  <c:v>127.40000000000002</c:v>
                </c:pt>
                <c:pt idx="3">
                  <c:v>130.30000000000001</c:v>
                </c:pt>
                <c:pt idx="4">
                  <c:v>71</c:v>
                </c:pt>
              </c:numCache>
            </c:numRef>
          </c:val>
          <c:smooth val="0"/>
          <c:extLst>
            <c:ext xmlns:c16="http://schemas.microsoft.com/office/drawing/2014/chart" uri="{C3380CC4-5D6E-409C-BE32-E72D297353CC}">
              <c16:uniqueId val="{00000000-2B23-4095-A291-3121C96BB613}"/>
            </c:ext>
          </c:extLst>
        </c:ser>
        <c:dLbls>
          <c:showLegendKey val="0"/>
          <c:showVal val="0"/>
          <c:showCatName val="0"/>
          <c:showSerName val="0"/>
          <c:showPercent val="0"/>
          <c:showBubbleSize val="0"/>
        </c:dLbls>
        <c:upDownBars>
          <c:gapWidth val="315"/>
          <c:upBars>
            <c:spPr>
              <a:solidFill>
                <a:schemeClr val="lt1">
                  <a:lumMod val="85000"/>
                </a:schemeClr>
              </a:solidFill>
              <a:ln w="9525">
                <a:solidFill>
                  <a:schemeClr val="dk1">
                    <a:lumMod val="50000"/>
                  </a:schemeClr>
                </a:solidFill>
                <a:round/>
              </a:ln>
              <a:effectLst/>
            </c:spPr>
          </c:upBars>
          <c:downBars>
            <c:spPr>
              <a:solidFill>
                <a:schemeClr val="dk1">
                  <a:lumMod val="50000"/>
                  <a:lumOff val="50000"/>
                </a:schemeClr>
              </a:solidFill>
              <a:ln w="9525">
                <a:solidFill>
                  <a:schemeClr val="dk1">
                    <a:lumMod val="75000"/>
                  </a:schemeClr>
                </a:solidFill>
                <a:round/>
              </a:ln>
              <a:effectLst/>
            </c:spPr>
          </c:downBars>
        </c:upDownBars>
        <c:marker val="1"/>
        <c:smooth val="0"/>
        <c:axId val="139414144"/>
        <c:axId val="139418464"/>
      </c:lineChart>
      <c:catAx>
        <c:axId val="1394141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9418464"/>
        <c:crosses val="autoZero"/>
        <c:auto val="1"/>
        <c:lblAlgn val="ctr"/>
        <c:lblOffset val="100"/>
        <c:noMultiLvlLbl val="0"/>
      </c:catAx>
      <c:valAx>
        <c:axId val="13941846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9414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PROJECT.xlsx]Sheet8!PivotTable6</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NO</a:t>
            </a:r>
            <a:r>
              <a:rPr lang="en-IN" baseline="0"/>
              <a:t> OF SCREENS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Sheet8!$B$3</c:f>
              <c:strCache>
                <c:ptCount val="1"/>
                <c:pt idx="0">
                  <c:v>Sum of ROI (%)</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Sheet8!$A$4:$A$14</c:f>
              <c:strCache>
                <c:ptCount val="10"/>
                <c:pt idx="0">
                  <c:v>Action</c:v>
                </c:pt>
                <c:pt idx="1">
                  <c:v>Comedy</c:v>
                </c:pt>
                <c:pt idx="2">
                  <c:v>Drama</c:v>
                </c:pt>
                <c:pt idx="3">
                  <c:v>Family</c:v>
                </c:pt>
                <c:pt idx="4">
                  <c:v>Fantasy</c:v>
                </c:pt>
                <c:pt idx="5">
                  <c:v>Political</c:v>
                </c:pt>
                <c:pt idx="6">
                  <c:v>Romance</c:v>
                </c:pt>
                <c:pt idx="7">
                  <c:v>Sports</c:v>
                </c:pt>
                <c:pt idx="8">
                  <c:v>Sports Drama</c:v>
                </c:pt>
                <c:pt idx="9">
                  <c:v>Thriller</c:v>
                </c:pt>
              </c:strCache>
            </c:strRef>
          </c:cat>
          <c:val>
            <c:numRef>
              <c:f>Sheet8!$B$4:$B$14</c:f>
              <c:numCache>
                <c:formatCode>General</c:formatCode>
                <c:ptCount val="10"/>
                <c:pt idx="0">
                  <c:v>9731.5800000000017</c:v>
                </c:pt>
                <c:pt idx="1">
                  <c:v>5.230000000000004</c:v>
                </c:pt>
                <c:pt idx="2">
                  <c:v>4761.1800000000012</c:v>
                </c:pt>
                <c:pt idx="3">
                  <c:v>2650.3900000000003</c:v>
                </c:pt>
                <c:pt idx="4">
                  <c:v>1550.01</c:v>
                </c:pt>
                <c:pt idx="5">
                  <c:v>3096.2999999999997</c:v>
                </c:pt>
                <c:pt idx="6">
                  <c:v>763.57999999999993</c:v>
                </c:pt>
                <c:pt idx="7">
                  <c:v>-62.69</c:v>
                </c:pt>
                <c:pt idx="8">
                  <c:v>-65.44</c:v>
                </c:pt>
                <c:pt idx="9">
                  <c:v>532.43999999999994</c:v>
                </c:pt>
              </c:numCache>
            </c:numRef>
          </c:val>
          <c:extLst>
            <c:ext xmlns:c16="http://schemas.microsoft.com/office/drawing/2014/chart" uri="{C3380CC4-5D6E-409C-BE32-E72D297353CC}">
              <c16:uniqueId val="{00000000-8673-4CAD-861A-8F3CB5039E51}"/>
            </c:ext>
          </c:extLst>
        </c:ser>
        <c:ser>
          <c:idx val="1"/>
          <c:order val="1"/>
          <c:tx>
            <c:strRef>
              <c:f>Sheet8!$C$3</c:f>
              <c:strCache>
                <c:ptCount val="1"/>
                <c:pt idx="0">
                  <c:v>Sum of No. of Screens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Sheet8!$A$4:$A$14</c:f>
              <c:strCache>
                <c:ptCount val="10"/>
                <c:pt idx="0">
                  <c:v>Action</c:v>
                </c:pt>
                <c:pt idx="1">
                  <c:v>Comedy</c:v>
                </c:pt>
                <c:pt idx="2">
                  <c:v>Drama</c:v>
                </c:pt>
                <c:pt idx="3">
                  <c:v>Family</c:v>
                </c:pt>
                <c:pt idx="4">
                  <c:v>Fantasy</c:v>
                </c:pt>
                <c:pt idx="5">
                  <c:v>Political</c:v>
                </c:pt>
                <c:pt idx="6">
                  <c:v>Romance</c:v>
                </c:pt>
                <c:pt idx="7">
                  <c:v>Sports</c:v>
                </c:pt>
                <c:pt idx="8">
                  <c:v>Sports Drama</c:v>
                </c:pt>
                <c:pt idx="9">
                  <c:v>Thriller</c:v>
                </c:pt>
              </c:strCache>
            </c:strRef>
          </c:cat>
          <c:val>
            <c:numRef>
              <c:f>Sheet8!$C$4:$C$14</c:f>
              <c:numCache>
                <c:formatCode>General</c:formatCode>
                <c:ptCount val="10"/>
                <c:pt idx="0">
                  <c:v>20708</c:v>
                </c:pt>
                <c:pt idx="1">
                  <c:v>12573</c:v>
                </c:pt>
                <c:pt idx="2">
                  <c:v>15413</c:v>
                </c:pt>
                <c:pt idx="3">
                  <c:v>16309</c:v>
                </c:pt>
                <c:pt idx="4">
                  <c:v>18737</c:v>
                </c:pt>
                <c:pt idx="5">
                  <c:v>9122</c:v>
                </c:pt>
                <c:pt idx="6">
                  <c:v>12097</c:v>
                </c:pt>
                <c:pt idx="7">
                  <c:v>2396</c:v>
                </c:pt>
                <c:pt idx="8">
                  <c:v>2137</c:v>
                </c:pt>
                <c:pt idx="9">
                  <c:v>7886</c:v>
                </c:pt>
              </c:numCache>
            </c:numRef>
          </c:val>
          <c:extLst>
            <c:ext xmlns:c16="http://schemas.microsoft.com/office/drawing/2014/chart" uri="{C3380CC4-5D6E-409C-BE32-E72D297353CC}">
              <c16:uniqueId val="{00000001-8673-4CAD-861A-8F3CB5039E51}"/>
            </c:ext>
          </c:extLst>
        </c:ser>
        <c:dLbls>
          <c:showLegendKey val="0"/>
          <c:showVal val="0"/>
          <c:showCatName val="0"/>
          <c:showSerName val="0"/>
          <c:showPercent val="0"/>
          <c:showBubbleSize val="0"/>
        </c:dLbls>
        <c:gapWidth val="150"/>
        <c:overlap val="100"/>
        <c:axId val="25003360"/>
        <c:axId val="25005760"/>
      </c:barChart>
      <c:catAx>
        <c:axId val="250033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5005760"/>
        <c:crosses val="autoZero"/>
        <c:auto val="1"/>
        <c:lblAlgn val="ctr"/>
        <c:lblOffset val="100"/>
        <c:noMultiLvlLbl val="0"/>
      </c:catAx>
      <c:valAx>
        <c:axId val="250057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5003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PROJECT.xlsx]Sheet9!PivotTable7</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IMDB</a:t>
            </a:r>
            <a:r>
              <a:rPr lang="en-US" baseline="0"/>
              <a:t> RATING</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Sheet9!$B$3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CB71-421C-B6C6-D9811D9D94F1}"/>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CB71-421C-B6C6-D9811D9D94F1}"/>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CB71-421C-B6C6-D9811D9D94F1}"/>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CB71-421C-B6C6-D9811D9D94F1}"/>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CB71-421C-B6C6-D9811D9D94F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Sheet9!$A$4:$A$9</c:f>
              <c:strCache>
                <c:ptCount val="5"/>
                <c:pt idx="0">
                  <c:v>3</c:v>
                </c:pt>
                <c:pt idx="1">
                  <c:v>4</c:v>
                </c:pt>
                <c:pt idx="2">
                  <c:v>5</c:v>
                </c:pt>
                <c:pt idx="3">
                  <c:v>6</c:v>
                </c:pt>
                <c:pt idx="4">
                  <c:v>7</c:v>
                </c:pt>
              </c:strCache>
            </c:strRef>
          </c:cat>
          <c:val>
            <c:numRef>
              <c:f>Sheet9!$B$4:$B$9</c:f>
              <c:numCache>
                <c:formatCode>General</c:formatCode>
                <c:ptCount val="5"/>
                <c:pt idx="0">
                  <c:v>99.3</c:v>
                </c:pt>
                <c:pt idx="1">
                  <c:v>155.30000000000001</c:v>
                </c:pt>
                <c:pt idx="2">
                  <c:v>109.5</c:v>
                </c:pt>
                <c:pt idx="3">
                  <c:v>103.3</c:v>
                </c:pt>
                <c:pt idx="4">
                  <c:v>94.7</c:v>
                </c:pt>
              </c:numCache>
            </c:numRef>
          </c:val>
          <c:extLst>
            <c:ext xmlns:c16="http://schemas.microsoft.com/office/drawing/2014/chart" uri="{C3380CC4-5D6E-409C-BE32-E72D297353CC}">
              <c16:uniqueId val="{0000000A-CB71-421C-B6C6-D9811D9D94F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PROJECT.xlsx]Sheet10!PivotTable8</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HERO</a:t>
            </a:r>
            <a:r>
              <a:rPr lang="en-IN" baseline="0"/>
              <a:t> COLLECTIONS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Sheet10!$B$3</c:f>
              <c:strCache>
                <c:ptCount val="1"/>
                <c:pt idx="0">
                  <c:v>Sum of Opening Day Collection (₹ Cr)</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Sheet10!$A$4:$A$22</c:f>
              <c:strCache>
                <c:ptCount val="18"/>
                <c:pt idx="0">
                  <c:v>Akhil</c:v>
                </c:pt>
                <c:pt idx="1">
                  <c:v>Allu Arjun</c:v>
                </c:pt>
                <c:pt idx="2">
                  <c:v>Mahesh Babu</c:v>
                </c:pt>
                <c:pt idx="3">
                  <c:v>Mahesh Babu, Venkatesh</c:v>
                </c:pt>
                <c:pt idx="4">
                  <c:v>Naga Chaitanya</c:v>
                </c:pt>
                <c:pt idx="5">
                  <c:v>Nani</c:v>
                </c:pt>
                <c:pt idx="6">
                  <c:v>Nikhil</c:v>
                </c:pt>
                <c:pt idx="7">
                  <c:v>Nithiin</c:v>
                </c:pt>
                <c:pt idx="8">
                  <c:v>NTR, Ram Charan</c:v>
                </c:pt>
                <c:pt idx="9">
                  <c:v>Pawan Kalyan</c:v>
                </c:pt>
                <c:pt idx="10">
                  <c:v>Prabhas</c:v>
                </c:pt>
                <c:pt idx="11">
                  <c:v>Ram</c:v>
                </c:pt>
                <c:pt idx="12">
                  <c:v>Ram Charan</c:v>
                </c:pt>
                <c:pt idx="13">
                  <c:v>Ravi Teja</c:v>
                </c:pt>
                <c:pt idx="14">
                  <c:v>Sudheer Babu</c:v>
                </c:pt>
                <c:pt idx="15">
                  <c:v>Venkatesh, Varun Tej</c:v>
                </c:pt>
                <c:pt idx="16">
                  <c:v>Vijay</c:v>
                </c:pt>
                <c:pt idx="17">
                  <c:v>Vijay Deverakonda</c:v>
                </c:pt>
              </c:strCache>
            </c:strRef>
          </c:cat>
          <c:val>
            <c:numRef>
              <c:f>Sheet10!$B$4:$B$22</c:f>
              <c:numCache>
                <c:formatCode>General</c:formatCode>
                <c:ptCount val="18"/>
                <c:pt idx="0">
                  <c:v>127.63999999999999</c:v>
                </c:pt>
                <c:pt idx="1">
                  <c:v>79.680000000000007</c:v>
                </c:pt>
                <c:pt idx="2">
                  <c:v>149.45000000000002</c:v>
                </c:pt>
                <c:pt idx="3">
                  <c:v>3.18</c:v>
                </c:pt>
                <c:pt idx="4">
                  <c:v>281.16000000000003</c:v>
                </c:pt>
                <c:pt idx="5">
                  <c:v>384.33000000000004</c:v>
                </c:pt>
                <c:pt idx="6">
                  <c:v>2.88</c:v>
                </c:pt>
                <c:pt idx="7">
                  <c:v>144.68</c:v>
                </c:pt>
                <c:pt idx="8">
                  <c:v>2.73</c:v>
                </c:pt>
                <c:pt idx="9">
                  <c:v>244.54000000000002</c:v>
                </c:pt>
                <c:pt idx="10">
                  <c:v>43.81</c:v>
                </c:pt>
                <c:pt idx="11">
                  <c:v>154.34</c:v>
                </c:pt>
                <c:pt idx="12">
                  <c:v>8.66</c:v>
                </c:pt>
                <c:pt idx="13">
                  <c:v>106.2</c:v>
                </c:pt>
                <c:pt idx="14">
                  <c:v>128.13</c:v>
                </c:pt>
                <c:pt idx="15">
                  <c:v>22.29</c:v>
                </c:pt>
                <c:pt idx="16">
                  <c:v>126.9</c:v>
                </c:pt>
                <c:pt idx="17">
                  <c:v>16.239999999999998</c:v>
                </c:pt>
              </c:numCache>
            </c:numRef>
          </c:val>
          <c:extLst>
            <c:ext xmlns:c16="http://schemas.microsoft.com/office/drawing/2014/chart" uri="{C3380CC4-5D6E-409C-BE32-E72D297353CC}">
              <c16:uniqueId val="{00000000-5DA2-4393-96C3-46202F9296AD}"/>
            </c:ext>
          </c:extLst>
        </c:ser>
        <c:dLbls>
          <c:showLegendKey val="0"/>
          <c:showVal val="0"/>
          <c:showCatName val="0"/>
          <c:showSerName val="0"/>
          <c:showPercent val="0"/>
          <c:showBubbleSize val="0"/>
        </c:dLbls>
        <c:gapWidth val="150"/>
        <c:axId val="309400032"/>
        <c:axId val="309400512"/>
      </c:barChart>
      <c:lineChart>
        <c:grouping val="standard"/>
        <c:varyColors val="0"/>
        <c:ser>
          <c:idx val="1"/>
          <c:order val="1"/>
          <c:tx>
            <c:strRef>
              <c:f>Sheet10!$C$3</c:f>
              <c:strCache>
                <c:ptCount val="1"/>
                <c:pt idx="0">
                  <c:v>Sum of ROI (%)</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Sheet10!$A$4:$A$22</c:f>
              <c:strCache>
                <c:ptCount val="18"/>
                <c:pt idx="0">
                  <c:v>Akhil</c:v>
                </c:pt>
                <c:pt idx="1">
                  <c:v>Allu Arjun</c:v>
                </c:pt>
                <c:pt idx="2">
                  <c:v>Mahesh Babu</c:v>
                </c:pt>
                <c:pt idx="3">
                  <c:v>Mahesh Babu, Venkatesh</c:v>
                </c:pt>
                <c:pt idx="4">
                  <c:v>Naga Chaitanya</c:v>
                </c:pt>
                <c:pt idx="5">
                  <c:v>Nani</c:v>
                </c:pt>
                <c:pt idx="6">
                  <c:v>Nikhil</c:v>
                </c:pt>
                <c:pt idx="7">
                  <c:v>Nithiin</c:v>
                </c:pt>
                <c:pt idx="8">
                  <c:v>NTR, Ram Charan</c:v>
                </c:pt>
                <c:pt idx="9">
                  <c:v>Pawan Kalyan</c:v>
                </c:pt>
                <c:pt idx="10">
                  <c:v>Prabhas</c:v>
                </c:pt>
                <c:pt idx="11">
                  <c:v>Ram</c:v>
                </c:pt>
                <c:pt idx="12">
                  <c:v>Ram Charan</c:v>
                </c:pt>
                <c:pt idx="13">
                  <c:v>Ravi Teja</c:v>
                </c:pt>
                <c:pt idx="14">
                  <c:v>Sudheer Babu</c:v>
                </c:pt>
                <c:pt idx="15">
                  <c:v>Venkatesh, Varun Tej</c:v>
                </c:pt>
                <c:pt idx="16">
                  <c:v>Vijay</c:v>
                </c:pt>
                <c:pt idx="17">
                  <c:v>Vijay Deverakonda</c:v>
                </c:pt>
              </c:strCache>
            </c:strRef>
          </c:cat>
          <c:val>
            <c:numRef>
              <c:f>Sheet10!$C$4:$C$22</c:f>
              <c:numCache>
                <c:formatCode>General</c:formatCode>
                <c:ptCount val="18"/>
                <c:pt idx="0">
                  <c:v>1743.0700000000002</c:v>
                </c:pt>
                <c:pt idx="1">
                  <c:v>2093.17</c:v>
                </c:pt>
                <c:pt idx="2">
                  <c:v>610.29</c:v>
                </c:pt>
                <c:pt idx="3">
                  <c:v>-40.22</c:v>
                </c:pt>
                <c:pt idx="4">
                  <c:v>1504.1599999999999</c:v>
                </c:pt>
                <c:pt idx="5">
                  <c:v>1801.9499999999998</c:v>
                </c:pt>
                <c:pt idx="6">
                  <c:v>459.68</c:v>
                </c:pt>
                <c:pt idx="7">
                  <c:v>502.88</c:v>
                </c:pt>
                <c:pt idx="8">
                  <c:v>3136.84</c:v>
                </c:pt>
                <c:pt idx="9">
                  <c:v>1721.57</c:v>
                </c:pt>
                <c:pt idx="10">
                  <c:v>7213.2</c:v>
                </c:pt>
                <c:pt idx="11">
                  <c:v>358</c:v>
                </c:pt>
                <c:pt idx="12">
                  <c:v>27.12</c:v>
                </c:pt>
                <c:pt idx="13">
                  <c:v>905.83</c:v>
                </c:pt>
                <c:pt idx="14">
                  <c:v>525.15</c:v>
                </c:pt>
                <c:pt idx="15">
                  <c:v>-36.94</c:v>
                </c:pt>
                <c:pt idx="16">
                  <c:v>503.91999999999996</c:v>
                </c:pt>
                <c:pt idx="17">
                  <c:v>-67.09</c:v>
                </c:pt>
              </c:numCache>
            </c:numRef>
          </c:val>
          <c:smooth val="0"/>
          <c:extLst>
            <c:ext xmlns:c16="http://schemas.microsoft.com/office/drawing/2014/chart" uri="{C3380CC4-5D6E-409C-BE32-E72D297353CC}">
              <c16:uniqueId val="{00000001-5DA2-4393-96C3-46202F9296AD}"/>
            </c:ext>
          </c:extLst>
        </c:ser>
        <c:dLbls>
          <c:showLegendKey val="0"/>
          <c:showVal val="0"/>
          <c:showCatName val="0"/>
          <c:showSerName val="0"/>
          <c:showPercent val="0"/>
          <c:showBubbleSize val="0"/>
        </c:dLbls>
        <c:marker val="1"/>
        <c:smooth val="0"/>
        <c:axId val="118434896"/>
        <c:axId val="309452352"/>
      </c:lineChart>
      <c:catAx>
        <c:axId val="3094000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9400512"/>
        <c:crosses val="autoZero"/>
        <c:auto val="1"/>
        <c:lblAlgn val="ctr"/>
        <c:lblOffset val="100"/>
        <c:noMultiLvlLbl val="0"/>
      </c:catAx>
      <c:valAx>
        <c:axId val="30940051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9400032"/>
        <c:crosses val="autoZero"/>
        <c:crossBetween val="between"/>
      </c:valAx>
      <c:valAx>
        <c:axId val="309452352"/>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434896"/>
        <c:crosses val="max"/>
        <c:crossBetween val="between"/>
      </c:valAx>
      <c:catAx>
        <c:axId val="118434896"/>
        <c:scaling>
          <c:orientation val="minMax"/>
        </c:scaling>
        <c:delete val="1"/>
        <c:axPos val="b"/>
        <c:numFmt formatCode="General" sourceLinked="1"/>
        <c:majorTickMark val="none"/>
        <c:minorTickMark val="none"/>
        <c:tickLblPos val="nextTo"/>
        <c:crossAx val="30945235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editAs="oneCell">
    <xdr:from>
      <xdr:col>5</xdr:col>
      <xdr:colOff>457200</xdr:colOff>
      <xdr:row>4</xdr:row>
      <xdr:rowOff>38100</xdr:rowOff>
    </xdr:from>
    <xdr:to>
      <xdr:col>8</xdr:col>
      <xdr:colOff>457200</xdr:colOff>
      <xdr:row>17</xdr:row>
      <xdr:rowOff>127635</xdr:rowOff>
    </xdr:to>
    <mc:AlternateContent xmlns:mc="http://schemas.openxmlformats.org/markup-compatibility/2006">
      <mc:Choice xmlns:a14="http://schemas.microsoft.com/office/drawing/2010/main" Requires="a14">
        <xdr:graphicFrame macro="">
          <xdr:nvGraphicFramePr>
            <xdr:cNvPr id="2" name="Year">
              <a:extLst>
                <a:ext uri="{FF2B5EF4-FFF2-40B4-BE49-F238E27FC236}">
                  <a16:creationId xmlns:a16="http://schemas.microsoft.com/office/drawing/2014/main" id="{35D0B57F-13AF-4D75-E377-AB291637E1F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4404360" y="7696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160020</xdr:colOff>
      <xdr:row>1</xdr:row>
      <xdr:rowOff>114300</xdr:rowOff>
    </xdr:from>
    <xdr:to>
      <xdr:col>16</xdr:col>
      <xdr:colOff>556260</xdr:colOff>
      <xdr:row>17</xdr:row>
      <xdr:rowOff>137160</xdr:rowOff>
    </xdr:to>
    <mc:AlternateContent xmlns:mc="http://schemas.openxmlformats.org/markup-compatibility/2006">
      <mc:Choice xmlns:a14="http://schemas.microsoft.com/office/drawing/2010/main" Requires="a14">
        <xdr:graphicFrame macro="">
          <xdr:nvGraphicFramePr>
            <xdr:cNvPr id="3" name="IMDB Rating">
              <a:extLst>
                <a:ext uri="{FF2B5EF4-FFF2-40B4-BE49-F238E27FC236}">
                  <a16:creationId xmlns:a16="http://schemas.microsoft.com/office/drawing/2014/main" id="{00D4864A-D28F-08FC-E0D2-9E956E664315}"/>
                </a:ext>
              </a:extLst>
            </xdr:cNvPr>
            <xdr:cNvGraphicFramePr/>
          </xdr:nvGraphicFramePr>
          <xdr:xfrm>
            <a:off x="0" y="0"/>
            <a:ext cx="0" cy="0"/>
          </xdr:xfrm>
          <a:graphic>
            <a:graphicData uri="http://schemas.microsoft.com/office/drawing/2010/slicer">
              <sle:slicer xmlns:sle="http://schemas.microsoft.com/office/drawing/2010/slicer" name="IMDB Rating"/>
            </a:graphicData>
          </a:graphic>
        </xdr:graphicFrame>
      </mc:Choice>
      <mc:Fallback>
        <xdr:sp macro="" textlink="">
          <xdr:nvSpPr>
            <xdr:cNvPr id="0" name=""/>
            <xdr:cNvSpPr>
              <a:spLocks noTextEdit="1"/>
            </xdr:cNvSpPr>
          </xdr:nvSpPr>
          <xdr:spPr>
            <a:xfrm>
              <a:off x="7764780" y="297180"/>
              <a:ext cx="3444240" cy="2948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114300</xdr:colOff>
      <xdr:row>7</xdr:row>
      <xdr:rowOff>7620</xdr:rowOff>
    </xdr:from>
    <xdr:to>
      <xdr:col>18</xdr:col>
      <xdr:colOff>320040</xdr:colOff>
      <xdr:row>24</xdr:row>
      <xdr:rowOff>114300</xdr:rowOff>
    </xdr:to>
    <mc:AlternateContent xmlns:mc="http://schemas.openxmlformats.org/markup-compatibility/2006">
      <mc:Choice xmlns:a14="http://schemas.microsoft.com/office/drawing/2010/main" Requires="a14">
        <xdr:graphicFrame macro="">
          <xdr:nvGraphicFramePr>
            <xdr:cNvPr id="4" name="Director">
              <a:extLst>
                <a:ext uri="{FF2B5EF4-FFF2-40B4-BE49-F238E27FC236}">
                  <a16:creationId xmlns:a16="http://schemas.microsoft.com/office/drawing/2014/main" id="{4BDDEA93-1548-C7E6-AB35-1BA9EBF40A31}"/>
                </a:ext>
              </a:extLst>
            </xdr:cNvPr>
            <xdr:cNvGraphicFramePr/>
          </xdr:nvGraphicFramePr>
          <xdr:xfrm>
            <a:off x="0" y="0"/>
            <a:ext cx="0" cy="0"/>
          </xdr:xfrm>
          <a:graphic>
            <a:graphicData uri="http://schemas.microsoft.com/office/drawing/2010/slicer">
              <sle:slicer xmlns:sle="http://schemas.microsoft.com/office/drawing/2010/slicer" name="Director"/>
            </a:graphicData>
          </a:graphic>
        </xdr:graphicFrame>
      </mc:Choice>
      <mc:Fallback>
        <xdr:sp macro="" textlink="">
          <xdr:nvSpPr>
            <xdr:cNvPr id="0" name=""/>
            <xdr:cNvSpPr>
              <a:spLocks noTextEdit="1"/>
            </xdr:cNvSpPr>
          </xdr:nvSpPr>
          <xdr:spPr>
            <a:xfrm>
              <a:off x="5280660" y="1287780"/>
              <a:ext cx="6911340" cy="3215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350520</xdr:colOff>
      <xdr:row>6</xdr:row>
      <xdr:rowOff>152400</xdr:rowOff>
    </xdr:from>
    <xdr:to>
      <xdr:col>7</xdr:col>
      <xdr:colOff>350520</xdr:colOff>
      <xdr:row>20</xdr:row>
      <xdr:rowOff>59055</xdr:rowOff>
    </xdr:to>
    <mc:AlternateContent xmlns:mc="http://schemas.openxmlformats.org/markup-compatibility/2006">
      <mc:Choice xmlns:a14="http://schemas.microsoft.com/office/drawing/2010/main" Requires="a14">
        <xdr:graphicFrame macro="">
          <xdr:nvGraphicFramePr>
            <xdr:cNvPr id="5" name="Release Type">
              <a:extLst>
                <a:ext uri="{FF2B5EF4-FFF2-40B4-BE49-F238E27FC236}">
                  <a16:creationId xmlns:a16="http://schemas.microsoft.com/office/drawing/2014/main" id="{8E05CC62-EBE6-DAF5-1E21-2D4835CEA04A}"/>
                </a:ext>
              </a:extLst>
            </xdr:cNvPr>
            <xdr:cNvGraphicFramePr/>
          </xdr:nvGraphicFramePr>
          <xdr:xfrm>
            <a:off x="0" y="0"/>
            <a:ext cx="0" cy="0"/>
          </xdr:xfrm>
          <a:graphic>
            <a:graphicData uri="http://schemas.microsoft.com/office/drawing/2010/slicer">
              <sle:slicer xmlns:sle="http://schemas.microsoft.com/office/drawing/2010/slicer" name="Release Type"/>
            </a:graphicData>
          </a:graphic>
        </xdr:graphicFrame>
      </mc:Choice>
      <mc:Fallback>
        <xdr:sp macro="" textlink="">
          <xdr:nvSpPr>
            <xdr:cNvPr id="0" name=""/>
            <xdr:cNvSpPr>
              <a:spLocks noTextEdit="1"/>
            </xdr:cNvSpPr>
          </xdr:nvSpPr>
          <xdr:spPr>
            <a:xfrm>
              <a:off x="3688080" y="12496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541020</xdr:colOff>
      <xdr:row>11</xdr:row>
      <xdr:rowOff>163830</xdr:rowOff>
    </xdr:from>
    <xdr:to>
      <xdr:col>8</xdr:col>
      <xdr:colOff>198120</xdr:colOff>
      <xdr:row>26</xdr:row>
      <xdr:rowOff>163830</xdr:rowOff>
    </xdr:to>
    <xdr:graphicFrame macro="">
      <xdr:nvGraphicFramePr>
        <xdr:cNvPr id="6" name="Chart 5">
          <a:extLst>
            <a:ext uri="{FF2B5EF4-FFF2-40B4-BE49-F238E27FC236}">
              <a16:creationId xmlns:a16="http://schemas.microsoft.com/office/drawing/2014/main" id="{C8709672-E045-92AF-35E3-B95606CF8C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175260</xdr:colOff>
      <xdr:row>5</xdr:row>
      <xdr:rowOff>129540</xdr:rowOff>
    </xdr:from>
    <xdr:to>
      <xdr:col>7</xdr:col>
      <xdr:colOff>175260</xdr:colOff>
      <xdr:row>19</xdr:row>
      <xdr:rowOff>36195</xdr:rowOff>
    </xdr:to>
    <mc:AlternateContent xmlns:mc="http://schemas.openxmlformats.org/markup-compatibility/2006">
      <mc:Choice xmlns:a14="http://schemas.microsoft.com/office/drawing/2010/main" Requires="a14">
        <xdr:graphicFrame macro="">
          <xdr:nvGraphicFramePr>
            <xdr:cNvPr id="5" name="Genre 1">
              <a:extLst>
                <a:ext uri="{FF2B5EF4-FFF2-40B4-BE49-F238E27FC236}">
                  <a16:creationId xmlns:a16="http://schemas.microsoft.com/office/drawing/2014/main" id="{C573830B-1FFF-46B4-6338-66A29AD8EC5C}"/>
                </a:ext>
              </a:extLst>
            </xdr:cNvPr>
            <xdr:cNvGraphicFramePr/>
          </xdr:nvGraphicFramePr>
          <xdr:xfrm>
            <a:off x="0" y="0"/>
            <a:ext cx="0" cy="0"/>
          </xdr:xfrm>
          <a:graphic>
            <a:graphicData uri="http://schemas.microsoft.com/office/drawing/2010/slicer">
              <sle:slicer xmlns:sle="http://schemas.microsoft.com/office/drawing/2010/slicer" name="Genre 1"/>
            </a:graphicData>
          </a:graphic>
        </xdr:graphicFrame>
      </mc:Choice>
      <mc:Fallback>
        <xdr:sp macro="" textlink="">
          <xdr:nvSpPr>
            <xdr:cNvPr id="0" name=""/>
            <xdr:cNvSpPr>
              <a:spLocks noTextEdit="1"/>
            </xdr:cNvSpPr>
          </xdr:nvSpPr>
          <xdr:spPr>
            <a:xfrm>
              <a:off x="4389120" y="10439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45720</xdr:colOff>
      <xdr:row>8</xdr:row>
      <xdr:rowOff>60960</xdr:rowOff>
    </xdr:from>
    <xdr:to>
      <xdr:col>8</xdr:col>
      <xdr:colOff>45720</xdr:colOff>
      <xdr:row>21</xdr:row>
      <xdr:rowOff>150495</xdr:rowOff>
    </xdr:to>
    <mc:AlternateContent xmlns:mc="http://schemas.openxmlformats.org/markup-compatibility/2006">
      <mc:Choice xmlns:a14="http://schemas.microsoft.com/office/drawing/2010/main" Requires="a14">
        <xdr:graphicFrame macro="">
          <xdr:nvGraphicFramePr>
            <xdr:cNvPr id="6" name="Awards Won 1">
              <a:extLst>
                <a:ext uri="{FF2B5EF4-FFF2-40B4-BE49-F238E27FC236}">
                  <a16:creationId xmlns:a16="http://schemas.microsoft.com/office/drawing/2014/main" id="{2733E07E-0E5E-342C-9024-4359DA966E09}"/>
                </a:ext>
              </a:extLst>
            </xdr:cNvPr>
            <xdr:cNvGraphicFramePr/>
          </xdr:nvGraphicFramePr>
          <xdr:xfrm>
            <a:off x="0" y="0"/>
            <a:ext cx="0" cy="0"/>
          </xdr:xfrm>
          <a:graphic>
            <a:graphicData uri="http://schemas.microsoft.com/office/drawing/2010/slicer">
              <sle:slicer xmlns:sle="http://schemas.microsoft.com/office/drawing/2010/slicer" name="Awards Won 1"/>
            </a:graphicData>
          </a:graphic>
        </xdr:graphicFrame>
      </mc:Choice>
      <mc:Fallback>
        <xdr:sp macro="" textlink="">
          <xdr:nvSpPr>
            <xdr:cNvPr id="0" name=""/>
            <xdr:cNvSpPr>
              <a:spLocks noTextEdit="1"/>
            </xdr:cNvSpPr>
          </xdr:nvSpPr>
          <xdr:spPr>
            <a:xfrm>
              <a:off x="4869180" y="1524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175260</xdr:colOff>
      <xdr:row>5</xdr:row>
      <xdr:rowOff>129540</xdr:rowOff>
    </xdr:from>
    <xdr:to>
      <xdr:col>7</xdr:col>
      <xdr:colOff>175260</xdr:colOff>
      <xdr:row>19</xdr:row>
      <xdr:rowOff>36195</xdr:rowOff>
    </xdr:to>
    <mc:AlternateContent xmlns:mc="http://schemas.openxmlformats.org/markup-compatibility/2006">
      <mc:Choice xmlns:a14="http://schemas.microsoft.com/office/drawing/2010/main" Requires="a14">
        <xdr:graphicFrame macro="">
          <xdr:nvGraphicFramePr>
            <xdr:cNvPr id="3" name="Genre">
              <a:extLst>
                <a:ext uri="{FF2B5EF4-FFF2-40B4-BE49-F238E27FC236}">
                  <a16:creationId xmlns:a16="http://schemas.microsoft.com/office/drawing/2014/main" id="{9FB0AF77-072A-2D09-460A-F2B66CEED05D}"/>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dr:sp macro="" textlink="">
          <xdr:nvSpPr>
            <xdr:cNvPr id="0" name=""/>
            <xdr:cNvSpPr>
              <a:spLocks noTextEdit="1"/>
            </xdr:cNvSpPr>
          </xdr:nvSpPr>
          <xdr:spPr>
            <a:xfrm>
              <a:off x="4389120" y="10439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45720</xdr:colOff>
      <xdr:row>8</xdr:row>
      <xdr:rowOff>60960</xdr:rowOff>
    </xdr:from>
    <xdr:to>
      <xdr:col>8</xdr:col>
      <xdr:colOff>45720</xdr:colOff>
      <xdr:row>21</xdr:row>
      <xdr:rowOff>150495</xdr:rowOff>
    </xdr:to>
    <mc:AlternateContent xmlns:mc="http://schemas.openxmlformats.org/markup-compatibility/2006">
      <mc:Choice xmlns:a14="http://schemas.microsoft.com/office/drawing/2010/main" Requires="a14">
        <xdr:graphicFrame macro="">
          <xdr:nvGraphicFramePr>
            <xdr:cNvPr id="4" name="Awards Won">
              <a:extLst>
                <a:ext uri="{FF2B5EF4-FFF2-40B4-BE49-F238E27FC236}">
                  <a16:creationId xmlns:a16="http://schemas.microsoft.com/office/drawing/2014/main" id="{CEFB8D76-5E0D-412C-DEFA-F82361DD6737}"/>
                </a:ext>
              </a:extLst>
            </xdr:cNvPr>
            <xdr:cNvGraphicFramePr/>
          </xdr:nvGraphicFramePr>
          <xdr:xfrm>
            <a:off x="0" y="0"/>
            <a:ext cx="0" cy="0"/>
          </xdr:xfrm>
          <a:graphic>
            <a:graphicData uri="http://schemas.microsoft.com/office/drawing/2010/slicer">
              <sle:slicer xmlns:sle="http://schemas.microsoft.com/office/drawing/2010/slicer" name="Awards Won"/>
            </a:graphicData>
          </a:graphic>
        </xdr:graphicFrame>
      </mc:Choice>
      <mc:Fallback>
        <xdr:sp macro="" textlink="">
          <xdr:nvSpPr>
            <xdr:cNvPr id="0" name=""/>
            <xdr:cNvSpPr>
              <a:spLocks noTextEdit="1"/>
            </xdr:cNvSpPr>
          </xdr:nvSpPr>
          <xdr:spPr>
            <a:xfrm>
              <a:off x="4869180" y="1524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373380</xdr:colOff>
      <xdr:row>3</xdr:row>
      <xdr:rowOff>140970</xdr:rowOff>
    </xdr:from>
    <xdr:to>
      <xdr:col>8</xdr:col>
      <xdr:colOff>434340</xdr:colOff>
      <xdr:row>18</xdr:row>
      <xdr:rowOff>140970</xdr:rowOff>
    </xdr:to>
    <xdr:graphicFrame macro="">
      <xdr:nvGraphicFramePr>
        <xdr:cNvPr id="2" name="Chart 1">
          <a:extLst>
            <a:ext uri="{FF2B5EF4-FFF2-40B4-BE49-F238E27FC236}">
              <a16:creationId xmlns:a16="http://schemas.microsoft.com/office/drawing/2014/main" id="{00F1FD85-636D-3D25-D1E8-00FD14B860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38100</xdr:colOff>
      <xdr:row>6</xdr:row>
      <xdr:rowOff>11430</xdr:rowOff>
    </xdr:from>
    <xdr:to>
      <xdr:col>10</xdr:col>
      <xdr:colOff>342900</xdr:colOff>
      <xdr:row>21</xdr:row>
      <xdr:rowOff>11430</xdr:rowOff>
    </xdr:to>
    <xdr:graphicFrame macro="">
      <xdr:nvGraphicFramePr>
        <xdr:cNvPr id="2" name="Chart 1">
          <a:extLst>
            <a:ext uri="{FF2B5EF4-FFF2-40B4-BE49-F238E27FC236}">
              <a16:creationId xmlns:a16="http://schemas.microsoft.com/office/drawing/2014/main" id="{81329438-8F10-B811-6C6D-8C8CCD2009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60960</xdr:colOff>
      <xdr:row>27</xdr:row>
      <xdr:rowOff>72390</xdr:rowOff>
    </xdr:from>
    <xdr:to>
      <xdr:col>10</xdr:col>
      <xdr:colOff>365760</xdr:colOff>
      <xdr:row>42</xdr:row>
      <xdr:rowOff>72390</xdr:rowOff>
    </xdr:to>
    <xdr:graphicFrame macro="">
      <xdr:nvGraphicFramePr>
        <xdr:cNvPr id="2" name="Chart 1">
          <a:extLst>
            <a:ext uri="{FF2B5EF4-FFF2-40B4-BE49-F238E27FC236}">
              <a16:creationId xmlns:a16="http://schemas.microsoft.com/office/drawing/2014/main" id="{C0725CD0-E313-313A-B038-A94AA627F5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1325880</xdr:colOff>
      <xdr:row>6</xdr:row>
      <xdr:rowOff>41910</xdr:rowOff>
    </xdr:from>
    <xdr:to>
      <xdr:col>10</xdr:col>
      <xdr:colOff>274320</xdr:colOff>
      <xdr:row>21</xdr:row>
      <xdr:rowOff>41910</xdr:rowOff>
    </xdr:to>
    <xdr:graphicFrame macro="">
      <xdr:nvGraphicFramePr>
        <xdr:cNvPr id="2" name="Chart 1">
          <a:extLst>
            <a:ext uri="{FF2B5EF4-FFF2-40B4-BE49-F238E27FC236}">
              <a16:creationId xmlns:a16="http://schemas.microsoft.com/office/drawing/2014/main" id="{3D1DD118-E26D-CA8F-F6FB-92557229A7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419100</xdr:colOff>
      <xdr:row>6</xdr:row>
      <xdr:rowOff>41910</xdr:rowOff>
    </xdr:from>
    <xdr:to>
      <xdr:col>13</xdr:col>
      <xdr:colOff>114300</xdr:colOff>
      <xdr:row>21</xdr:row>
      <xdr:rowOff>41910</xdr:rowOff>
    </xdr:to>
    <xdr:graphicFrame macro="">
      <xdr:nvGraphicFramePr>
        <xdr:cNvPr id="3" name="Chart 2">
          <a:extLst>
            <a:ext uri="{FF2B5EF4-FFF2-40B4-BE49-F238E27FC236}">
              <a16:creationId xmlns:a16="http://schemas.microsoft.com/office/drawing/2014/main" id="{FCF1E342-427D-8DE3-3C60-242F61E465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419100</xdr:colOff>
      <xdr:row>6</xdr:row>
      <xdr:rowOff>41910</xdr:rowOff>
    </xdr:from>
    <xdr:to>
      <xdr:col>11</xdr:col>
      <xdr:colOff>114300</xdr:colOff>
      <xdr:row>21</xdr:row>
      <xdr:rowOff>41910</xdr:rowOff>
    </xdr:to>
    <xdr:graphicFrame macro="">
      <xdr:nvGraphicFramePr>
        <xdr:cNvPr id="2" name="Chart 1">
          <a:extLst>
            <a:ext uri="{FF2B5EF4-FFF2-40B4-BE49-F238E27FC236}">
              <a16:creationId xmlns:a16="http://schemas.microsoft.com/office/drawing/2014/main" id="{87BED792-0AEC-7192-354F-A1D3F6E1A1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1645920</xdr:colOff>
      <xdr:row>6</xdr:row>
      <xdr:rowOff>41910</xdr:rowOff>
    </xdr:from>
    <xdr:to>
      <xdr:col>7</xdr:col>
      <xdr:colOff>601980</xdr:colOff>
      <xdr:row>21</xdr:row>
      <xdr:rowOff>41910</xdr:rowOff>
    </xdr:to>
    <xdr:graphicFrame macro="">
      <xdr:nvGraphicFramePr>
        <xdr:cNvPr id="3" name="Chart 2">
          <a:extLst>
            <a:ext uri="{FF2B5EF4-FFF2-40B4-BE49-F238E27FC236}">
              <a16:creationId xmlns:a16="http://schemas.microsoft.com/office/drawing/2014/main" id="{1BEE6107-6CED-7238-62DD-D704AFD405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556260</xdr:colOff>
      <xdr:row>4</xdr:row>
      <xdr:rowOff>175260</xdr:rowOff>
    </xdr:from>
    <xdr:to>
      <xdr:col>10</xdr:col>
      <xdr:colOff>251460</xdr:colOff>
      <xdr:row>19</xdr:row>
      <xdr:rowOff>175260</xdr:rowOff>
    </xdr:to>
    <xdr:graphicFrame macro="">
      <xdr:nvGraphicFramePr>
        <xdr:cNvPr id="18" name="Chart 17">
          <a:extLst>
            <a:ext uri="{FF2B5EF4-FFF2-40B4-BE49-F238E27FC236}">
              <a16:creationId xmlns:a16="http://schemas.microsoft.com/office/drawing/2014/main" id="{1BBAC453-8DBB-4328-8597-EC8CD0AD1C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99060</xdr:colOff>
      <xdr:row>5</xdr:row>
      <xdr:rowOff>144780</xdr:rowOff>
    </xdr:from>
    <xdr:to>
      <xdr:col>10</xdr:col>
      <xdr:colOff>403860</xdr:colOff>
      <xdr:row>20</xdr:row>
      <xdr:rowOff>144780</xdr:rowOff>
    </xdr:to>
    <xdr:graphicFrame macro="">
      <xdr:nvGraphicFramePr>
        <xdr:cNvPr id="20" name="Chart 19">
          <a:extLst>
            <a:ext uri="{FF2B5EF4-FFF2-40B4-BE49-F238E27FC236}">
              <a16:creationId xmlns:a16="http://schemas.microsoft.com/office/drawing/2014/main" id="{7FC37BA7-D30E-4051-810F-EC20149C63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45720</xdr:colOff>
      <xdr:row>0</xdr:row>
      <xdr:rowOff>15240</xdr:rowOff>
    </xdr:from>
    <xdr:to>
      <xdr:col>23</xdr:col>
      <xdr:colOff>175260</xdr:colOff>
      <xdr:row>65</xdr:row>
      <xdr:rowOff>144780</xdr:rowOff>
    </xdr:to>
    <xdr:sp macro="" textlink="">
      <xdr:nvSpPr>
        <xdr:cNvPr id="2" name="Rectangle: Rounded Corners 1">
          <a:extLst>
            <a:ext uri="{FF2B5EF4-FFF2-40B4-BE49-F238E27FC236}">
              <a16:creationId xmlns:a16="http://schemas.microsoft.com/office/drawing/2014/main" id="{B63897AD-DAAA-FCB8-E311-38D4142F6380}"/>
            </a:ext>
          </a:extLst>
        </xdr:cNvPr>
        <xdr:cNvSpPr/>
      </xdr:nvSpPr>
      <xdr:spPr>
        <a:xfrm>
          <a:off x="45720" y="15240"/>
          <a:ext cx="14150340" cy="12016740"/>
        </a:xfrm>
        <a:prstGeom prst="roundRect">
          <a:avLst>
            <a:gd name="adj" fmla="val 279"/>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312420</xdr:colOff>
      <xdr:row>4</xdr:row>
      <xdr:rowOff>22860</xdr:rowOff>
    </xdr:from>
    <xdr:to>
      <xdr:col>22</xdr:col>
      <xdr:colOff>464820</xdr:colOff>
      <xdr:row>64</xdr:row>
      <xdr:rowOff>137160</xdr:rowOff>
    </xdr:to>
    <xdr:sp macro="" textlink="">
      <xdr:nvSpPr>
        <xdr:cNvPr id="3" name="Rectangle 2">
          <a:extLst>
            <a:ext uri="{FF2B5EF4-FFF2-40B4-BE49-F238E27FC236}">
              <a16:creationId xmlns:a16="http://schemas.microsoft.com/office/drawing/2014/main" id="{5A365828-F4FE-F012-B92A-A4980FEBF894}"/>
            </a:ext>
          </a:extLst>
        </xdr:cNvPr>
        <xdr:cNvSpPr/>
      </xdr:nvSpPr>
      <xdr:spPr>
        <a:xfrm>
          <a:off x="1531620" y="754380"/>
          <a:ext cx="12344400" cy="11087100"/>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358140</xdr:colOff>
      <xdr:row>0</xdr:row>
      <xdr:rowOff>144780</xdr:rowOff>
    </xdr:from>
    <xdr:to>
      <xdr:col>14</xdr:col>
      <xdr:colOff>342900</xdr:colOff>
      <xdr:row>3</xdr:row>
      <xdr:rowOff>121920</xdr:rowOff>
    </xdr:to>
    <xdr:sp macro="" textlink="">
      <xdr:nvSpPr>
        <xdr:cNvPr id="4" name="TextBox 3">
          <a:extLst>
            <a:ext uri="{FF2B5EF4-FFF2-40B4-BE49-F238E27FC236}">
              <a16:creationId xmlns:a16="http://schemas.microsoft.com/office/drawing/2014/main" id="{63605837-C85F-5CF9-44B7-9772AEBCBE1E}"/>
            </a:ext>
          </a:extLst>
        </xdr:cNvPr>
        <xdr:cNvSpPr txBox="1"/>
      </xdr:nvSpPr>
      <xdr:spPr>
        <a:xfrm>
          <a:off x="5844540" y="144780"/>
          <a:ext cx="3032760" cy="5257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u="dbl"/>
            <a:t>DASH</a:t>
          </a:r>
          <a:r>
            <a:rPr lang="en-IN" sz="2800" b="1"/>
            <a:t> </a:t>
          </a:r>
          <a:r>
            <a:rPr lang="en-IN" sz="2800" b="1" u="dbl"/>
            <a:t>BOARD</a:t>
          </a:r>
        </a:p>
      </xdr:txBody>
    </xdr:sp>
    <xdr:clientData/>
  </xdr:twoCellAnchor>
  <xdr:twoCellAnchor editAs="oneCell">
    <xdr:from>
      <xdr:col>3</xdr:col>
      <xdr:colOff>7620</xdr:colOff>
      <xdr:row>5</xdr:row>
      <xdr:rowOff>99061</xdr:rowOff>
    </xdr:from>
    <xdr:to>
      <xdr:col>7</xdr:col>
      <xdr:colOff>160020</xdr:colOff>
      <xdr:row>14</xdr:row>
      <xdr:rowOff>30480</xdr:rowOff>
    </xdr:to>
    <mc:AlternateContent xmlns:mc="http://schemas.openxmlformats.org/markup-compatibility/2006">
      <mc:Choice xmlns:a14="http://schemas.microsoft.com/office/drawing/2010/main" Requires="a14">
        <xdr:graphicFrame macro="">
          <xdr:nvGraphicFramePr>
            <xdr:cNvPr id="5" name="Year 1">
              <a:extLst>
                <a:ext uri="{FF2B5EF4-FFF2-40B4-BE49-F238E27FC236}">
                  <a16:creationId xmlns:a16="http://schemas.microsoft.com/office/drawing/2014/main" id="{F4D3831C-CC39-46CB-9F05-D90C41303118}"/>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836420" y="1013461"/>
              <a:ext cx="2590800" cy="1577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419100</xdr:colOff>
      <xdr:row>5</xdr:row>
      <xdr:rowOff>106680</xdr:rowOff>
    </xdr:from>
    <xdr:to>
      <xdr:col>17</xdr:col>
      <xdr:colOff>15240</xdr:colOff>
      <xdr:row>14</xdr:row>
      <xdr:rowOff>45720</xdr:rowOff>
    </xdr:to>
    <mc:AlternateContent xmlns:mc="http://schemas.openxmlformats.org/markup-compatibility/2006">
      <mc:Choice xmlns:a14="http://schemas.microsoft.com/office/drawing/2010/main" Requires="a14">
        <xdr:graphicFrame macro="">
          <xdr:nvGraphicFramePr>
            <xdr:cNvPr id="7" name="IMDB Rating 1">
              <a:extLst>
                <a:ext uri="{FF2B5EF4-FFF2-40B4-BE49-F238E27FC236}">
                  <a16:creationId xmlns:a16="http://schemas.microsoft.com/office/drawing/2014/main" id="{2AFCD8DD-7288-4682-ABDB-042BB03C19FB}"/>
                </a:ext>
              </a:extLst>
            </xdr:cNvPr>
            <xdr:cNvGraphicFramePr/>
          </xdr:nvGraphicFramePr>
          <xdr:xfrm>
            <a:off x="0" y="0"/>
            <a:ext cx="0" cy="0"/>
          </xdr:xfrm>
          <a:graphic>
            <a:graphicData uri="http://schemas.microsoft.com/office/drawing/2010/slicer">
              <sle:slicer xmlns:sle="http://schemas.microsoft.com/office/drawing/2010/slicer" name="IMDB Rating 1"/>
            </a:graphicData>
          </a:graphic>
        </xdr:graphicFrame>
      </mc:Choice>
      <mc:Fallback>
        <xdr:sp macro="" textlink="">
          <xdr:nvSpPr>
            <xdr:cNvPr id="0" name=""/>
            <xdr:cNvSpPr>
              <a:spLocks noTextEdit="1"/>
            </xdr:cNvSpPr>
          </xdr:nvSpPr>
          <xdr:spPr>
            <a:xfrm>
              <a:off x="4686300" y="1021080"/>
              <a:ext cx="5692140" cy="1584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167640</xdr:colOff>
      <xdr:row>5</xdr:row>
      <xdr:rowOff>129541</xdr:rowOff>
    </xdr:from>
    <xdr:to>
      <xdr:col>22</xdr:col>
      <xdr:colOff>289560</xdr:colOff>
      <xdr:row>14</xdr:row>
      <xdr:rowOff>7620</xdr:rowOff>
    </xdr:to>
    <mc:AlternateContent xmlns:mc="http://schemas.openxmlformats.org/markup-compatibility/2006">
      <mc:Choice xmlns:a14="http://schemas.microsoft.com/office/drawing/2010/main" Requires="a14">
        <xdr:graphicFrame macro="">
          <xdr:nvGraphicFramePr>
            <xdr:cNvPr id="8" name="Release Type 1">
              <a:extLst>
                <a:ext uri="{FF2B5EF4-FFF2-40B4-BE49-F238E27FC236}">
                  <a16:creationId xmlns:a16="http://schemas.microsoft.com/office/drawing/2014/main" id="{919DFA84-C288-4792-B674-DE3378E93BD4}"/>
                </a:ext>
              </a:extLst>
            </xdr:cNvPr>
            <xdr:cNvGraphicFramePr/>
          </xdr:nvGraphicFramePr>
          <xdr:xfrm>
            <a:off x="0" y="0"/>
            <a:ext cx="0" cy="0"/>
          </xdr:xfrm>
          <a:graphic>
            <a:graphicData uri="http://schemas.microsoft.com/office/drawing/2010/slicer">
              <sle:slicer xmlns:sle="http://schemas.microsoft.com/office/drawing/2010/slicer" name="Release Type 1"/>
            </a:graphicData>
          </a:graphic>
        </xdr:graphicFrame>
      </mc:Choice>
      <mc:Fallback>
        <xdr:sp macro="" textlink="">
          <xdr:nvSpPr>
            <xdr:cNvPr id="0" name=""/>
            <xdr:cNvSpPr>
              <a:spLocks noTextEdit="1"/>
            </xdr:cNvSpPr>
          </xdr:nvSpPr>
          <xdr:spPr>
            <a:xfrm>
              <a:off x="10530840" y="1043941"/>
              <a:ext cx="3169920" cy="1523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121920</xdr:colOff>
      <xdr:row>35</xdr:row>
      <xdr:rowOff>106680</xdr:rowOff>
    </xdr:from>
    <xdr:to>
      <xdr:col>2</xdr:col>
      <xdr:colOff>327660</xdr:colOff>
      <xdr:row>37</xdr:row>
      <xdr:rowOff>99060</xdr:rowOff>
    </xdr:to>
    <xdr:sp macro="" textlink="">
      <xdr:nvSpPr>
        <xdr:cNvPr id="9" name="Rectangle 8">
          <a:extLst>
            <a:ext uri="{FF2B5EF4-FFF2-40B4-BE49-F238E27FC236}">
              <a16:creationId xmlns:a16="http://schemas.microsoft.com/office/drawing/2014/main" id="{2EBE64A6-5FAF-2D98-A2A2-6C1C7C0518FD}"/>
            </a:ext>
          </a:extLst>
        </xdr:cNvPr>
        <xdr:cNvSpPr/>
      </xdr:nvSpPr>
      <xdr:spPr>
        <a:xfrm>
          <a:off x="121920" y="6507480"/>
          <a:ext cx="1424940" cy="358140"/>
        </a:xfrm>
        <a:prstGeom prst="rect">
          <a:avLst/>
        </a:prstGeom>
        <a:solidFill>
          <a:schemeClr val="bg1"/>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2000" u="sng">
              <a:solidFill>
                <a:schemeClr val="tx1"/>
              </a:solidFill>
            </a:rPr>
            <a:t>VERDICT</a:t>
          </a:r>
        </a:p>
      </xdr:txBody>
    </xdr:sp>
    <xdr:clientData/>
  </xdr:twoCellAnchor>
  <xdr:twoCellAnchor>
    <xdr:from>
      <xdr:col>0</xdr:col>
      <xdr:colOff>167640</xdr:colOff>
      <xdr:row>20</xdr:row>
      <xdr:rowOff>121920</xdr:rowOff>
    </xdr:from>
    <xdr:to>
      <xdr:col>2</xdr:col>
      <xdr:colOff>251460</xdr:colOff>
      <xdr:row>24</xdr:row>
      <xdr:rowOff>152400</xdr:rowOff>
    </xdr:to>
    <xdr:sp macro="" textlink="">
      <xdr:nvSpPr>
        <xdr:cNvPr id="10" name="Rectangle 9">
          <a:extLst>
            <a:ext uri="{FF2B5EF4-FFF2-40B4-BE49-F238E27FC236}">
              <a16:creationId xmlns:a16="http://schemas.microsoft.com/office/drawing/2014/main" id="{289835A7-8956-4652-FCC4-6F2193B0B469}"/>
            </a:ext>
          </a:extLst>
        </xdr:cNvPr>
        <xdr:cNvSpPr/>
      </xdr:nvSpPr>
      <xdr:spPr>
        <a:xfrm>
          <a:off x="167640" y="3779520"/>
          <a:ext cx="1303020" cy="7620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i="0" u="sng"/>
            <a:t>AW</a:t>
          </a:r>
          <a:r>
            <a:rPr lang="en-IN" sz="1400" b="1" i="0" u="sng">
              <a:solidFill>
                <a:schemeClr val="tx1"/>
              </a:solidFill>
            </a:rPr>
            <a:t>AWARDS WON</a:t>
          </a:r>
          <a:endParaRPr lang="en-IN" sz="1400" b="1" i="0" u="sng"/>
        </a:p>
      </xdr:txBody>
    </xdr:sp>
    <xdr:clientData/>
  </xdr:twoCellAnchor>
  <xdr:twoCellAnchor>
    <xdr:from>
      <xdr:col>0</xdr:col>
      <xdr:colOff>0</xdr:colOff>
      <xdr:row>51</xdr:row>
      <xdr:rowOff>38100</xdr:rowOff>
    </xdr:from>
    <xdr:to>
      <xdr:col>2</xdr:col>
      <xdr:colOff>327660</xdr:colOff>
      <xdr:row>55</xdr:row>
      <xdr:rowOff>45720</xdr:rowOff>
    </xdr:to>
    <xdr:sp macro="" textlink="">
      <xdr:nvSpPr>
        <xdr:cNvPr id="11" name="Rectangle 10">
          <a:extLst>
            <a:ext uri="{FF2B5EF4-FFF2-40B4-BE49-F238E27FC236}">
              <a16:creationId xmlns:a16="http://schemas.microsoft.com/office/drawing/2014/main" id="{36996611-FFE7-4F5B-BBCB-26E9320C4FA0}"/>
            </a:ext>
          </a:extLst>
        </xdr:cNvPr>
        <xdr:cNvSpPr/>
      </xdr:nvSpPr>
      <xdr:spPr>
        <a:xfrm>
          <a:off x="0" y="9364980"/>
          <a:ext cx="1546860" cy="739140"/>
        </a:xfrm>
        <a:prstGeom prst="rect">
          <a:avLst/>
        </a:prstGeom>
        <a:solidFill>
          <a:schemeClr val="bg1"/>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2000" u="sng">
              <a:solidFill>
                <a:schemeClr val="tx1"/>
              </a:solidFill>
            </a:rPr>
            <a:t>CRITIC</a:t>
          </a:r>
          <a:r>
            <a:rPr lang="en-IN" sz="2000" u="sng" baseline="0">
              <a:solidFill>
                <a:schemeClr val="tx1"/>
              </a:solidFill>
            </a:rPr>
            <a:t> RATINGS</a:t>
          </a:r>
          <a:endParaRPr lang="en-IN" sz="2000" u="sng">
            <a:solidFill>
              <a:schemeClr val="tx1"/>
            </a:solidFill>
          </a:endParaRPr>
        </a:p>
      </xdr:txBody>
    </xdr:sp>
    <xdr:clientData/>
  </xdr:twoCellAnchor>
  <xdr:twoCellAnchor>
    <xdr:from>
      <xdr:col>0</xdr:col>
      <xdr:colOff>121920</xdr:colOff>
      <xdr:row>9</xdr:row>
      <xdr:rowOff>99060</xdr:rowOff>
    </xdr:from>
    <xdr:to>
      <xdr:col>2</xdr:col>
      <xdr:colOff>327660</xdr:colOff>
      <xdr:row>12</xdr:row>
      <xdr:rowOff>160020</xdr:rowOff>
    </xdr:to>
    <xdr:sp macro="" textlink="">
      <xdr:nvSpPr>
        <xdr:cNvPr id="12" name="Rectangle 11">
          <a:extLst>
            <a:ext uri="{FF2B5EF4-FFF2-40B4-BE49-F238E27FC236}">
              <a16:creationId xmlns:a16="http://schemas.microsoft.com/office/drawing/2014/main" id="{5A95DE37-61DE-4D56-AF6C-BCFE8BAE3CCD}"/>
            </a:ext>
          </a:extLst>
        </xdr:cNvPr>
        <xdr:cNvSpPr/>
      </xdr:nvSpPr>
      <xdr:spPr>
        <a:xfrm flipV="1">
          <a:off x="121920" y="1744980"/>
          <a:ext cx="1424940" cy="609600"/>
        </a:xfrm>
        <a:prstGeom prst="rect">
          <a:avLst/>
        </a:prstGeom>
        <a:solidFill>
          <a:schemeClr val="tx1"/>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2000" u="sng">
              <a:solidFill>
                <a:schemeClr val="tx1"/>
              </a:solidFill>
            </a:rPr>
            <a:t>CRITIC</a:t>
          </a:r>
          <a:r>
            <a:rPr lang="en-IN" sz="2000" u="sng" baseline="0">
              <a:solidFill>
                <a:schemeClr val="tx1"/>
              </a:solidFill>
            </a:rPr>
            <a:t> RATINGS</a:t>
          </a:r>
          <a:endParaRPr lang="en-IN" sz="2000" u="sng">
            <a:solidFill>
              <a:schemeClr val="tx1"/>
            </a:solidFill>
          </a:endParaRPr>
        </a:p>
      </xdr:txBody>
    </xdr:sp>
    <xdr:clientData/>
  </xdr:twoCellAnchor>
  <xdr:twoCellAnchor>
    <xdr:from>
      <xdr:col>0</xdr:col>
      <xdr:colOff>0</xdr:colOff>
      <xdr:row>12</xdr:row>
      <xdr:rowOff>121920</xdr:rowOff>
    </xdr:from>
    <xdr:to>
      <xdr:col>2</xdr:col>
      <xdr:colOff>327660</xdr:colOff>
      <xdr:row>16</xdr:row>
      <xdr:rowOff>129540</xdr:rowOff>
    </xdr:to>
    <xdr:sp macro="" textlink="">
      <xdr:nvSpPr>
        <xdr:cNvPr id="13" name="Rectangle 12">
          <a:extLst>
            <a:ext uri="{FF2B5EF4-FFF2-40B4-BE49-F238E27FC236}">
              <a16:creationId xmlns:a16="http://schemas.microsoft.com/office/drawing/2014/main" id="{8BAF5287-EFE7-43D6-BAE2-9DFB7D25A8C4}"/>
            </a:ext>
          </a:extLst>
        </xdr:cNvPr>
        <xdr:cNvSpPr/>
      </xdr:nvSpPr>
      <xdr:spPr>
        <a:xfrm>
          <a:off x="0" y="2316480"/>
          <a:ext cx="1546860" cy="739140"/>
        </a:xfrm>
        <a:prstGeom prst="rect">
          <a:avLst/>
        </a:prstGeom>
        <a:solidFill>
          <a:schemeClr val="tx1"/>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2000" u="sng">
              <a:solidFill>
                <a:schemeClr val="tx1"/>
              </a:solidFill>
            </a:rPr>
            <a:t>CRITIC</a:t>
          </a:r>
          <a:r>
            <a:rPr lang="en-IN" sz="2000" u="sng" baseline="0">
              <a:solidFill>
                <a:schemeClr val="tx1"/>
              </a:solidFill>
            </a:rPr>
            <a:t> RATINGS</a:t>
          </a:r>
          <a:endParaRPr lang="en-IN" sz="2000" u="sng">
            <a:solidFill>
              <a:schemeClr val="tx1"/>
            </a:solidFill>
          </a:endParaRPr>
        </a:p>
      </xdr:txBody>
    </xdr:sp>
    <xdr:clientData/>
  </xdr:twoCellAnchor>
  <xdr:twoCellAnchor>
    <xdr:from>
      <xdr:col>0</xdr:col>
      <xdr:colOff>0</xdr:colOff>
      <xdr:row>8</xdr:row>
      <xdr:rowOff>152400</xdr:rowOff>
    </xdr:from>
    <xdr:to>
      <xdr:col>2</xdr:col>
      <xdr:colOff>205740</xdr:colOff>
      <xdr:row>10</xdr:row>
      <xdr:rowOff>144780</xdr:rowOff>
    </xdr:to>
    <xdr:sp macro="" textlink="">
      <xdr:nvSpPr>
        <xdr:cNvPr id="14" name="Rectangle 13">
          <a:extLst>
            <a:ext uri="{FF2B5EF4-FFF2-40B4-BE49-F238E27FC236}">
              <a16:creationId xmlns:a16="http://schemas.microsoft.com/office/drawing/2014/main" id="{3DF91360-3023-4936-A5DB-19179343E2ED}"/>
            </a:ext>
          </a:extLst>
        </xdr:cNvPr>
        <xdr:cNvSpPr/>
      </xdr:nvSpPr>
      <xdr:spPr>
        <a:xfrm>
          <a:off x="0" y="1615440"/>
          <a:ext cx="1424940" cy="358140"/>
        </a:xfrm>
        <a:prstGeom prst="rect">
          <a:avLst/>
        </a:prstGeom>
        <a:solidFill>
          <a:schemeClr val="tx1"/>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endParaRPr lang="en-IN" sz="2000" u="sng">
            <a:solidFill>
              <a:schemeClr val="tx1"/>
            </a:solidFill>
          </a:endParaRPr>
        </a:p>
      </xdr:txBody>
    </xdr:sp>
    <xdr:clientData/>
  </xdr:twoCellAnchor>
  <xdr:twoCellAnchor>
    <xdr:from>
      <xdr:col>3</xdr:col>
      <xdr:colOff>152400</xdr:colOff>
      <xdr:row>15</xdr:row>
      <xdr:rowOff>15240</xdr:rowOff>
    </xdr:from>
    <xdr:to>
      <xdr:col>12</xdr:col>
      <xdr:colOff>205740</xdr:colOff>
      <xdr:row>30</xdr:row>
      <xdr:rowOff>22860</xdr:rowOff>
    </xdr:to>
    <xdr:graphicFrame macro="">
      <xdr:nvGraphicFramePr>
        <xdr:cNvPr id="15" name="Chart 14">
          <a:extLst>
            <a:ext uri="{FF2B5EF4-FFF2-40B4-BE49-F238E27FC236}">
              <a16:creationId xmlns:a16="http://schemas.microsoft.com/office/drawing/2014/main" id="{BD065A7C-8538-4DAE-995F-FC934D32E5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480060</xdr:colOff>
      <xdr:row>15</xdr:row>
      <xdr:rowOff>45720</xdr:rowOff>
    </xdr:from>
    <xdr:to>
      <xdr:col>22</xdr:col>
      <xdr:colOff>182880</xdr:colOff>
      <xdr:row>29</xdr:row>
      <xdr:rowOff>167640</xdr:rowOff>
    </xdr:to>
    <xdr:graphicFrame macro="">
      <xdr:nvGraphicFramePr>
        <xdr:cNvPr id="16" name="Chart 15">
          <a:extLst>
            <a:ext uri="{FF2B5EF4-FFF2-40B4-BE49-F238E27FC236}">
              <a16:creationId xmlns:a16="http://schemas.microsoft.com/office/drawing/2014/main" id="{F69B7FAD-6BAA-4E97-822F-3E454915D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152400</xdr:colOff>
      <xdr:row>31</xdr:row>
      <xdr:rowOff>0</xdr:rowOff>
    </xdr:from>
    <xdr:to>
      <xdr:col>12</xdr:col>
      <xdr:colOff>243840</xdr:colOff>
      <xdr:row>46</xdr:row>
      <xdr:rowOff>99060</xdr:rowOff>
    </xdr:to>
    <xdr:graphicFrame macro="">
      <xdr:nvGraphicFramePr>
        <xdr:cNvPr id="17" name="Chart 16">
          <a:extLst>
            <a:ext uri="{FF2B5EF4-FFF2-40B4-BE49-F238E27FC236}">
              <a16:creationId xmlns:a16="http://schemas.microsoft.com/office/drawing/2014/main" id="{4A6AC684-EB5A-4296-BD35-AC2E50A5C1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106680</xdr:colOff>
      <xdr:row>31</xdr:row>
      <xdr:rowOff>7620</xdr:rowOff>
    </xdr:from>
    <xdr:to>
      <xdr:col>22</xdr:col>
      <xdr:colOff>129540</xdr:colOff>
      <xdr:row>45</xdr:row>
      <xdr:rowOff>121920</xdr:rowOff>
    </xdr:to>
    <xdr:graphicFrame macro="">
      <xdr:nvGraphicFramePr>
        <xdr:cNvPr id="21" name="Chart 20">
          <a:extLst>
            <a:ext uri="{FF2B5EF4-FFF2-40B4-BE49-F238E27FC236}">
              <a16:creationId xmlns:a16="http://schemas.microsoft.com/office/drawing/2014/main" id="{C1EBE690-E8AF-4126-BB76-9AEEA9163F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68580</xdr:colOff>
      <xdr:row>48</xdr:row>
      <xdr:rowOff>175260</xdr:rowOff>
    </xdr:from>
    <xdr:to>
      <xdr:col>9</xdr:col>
      <xdr:colOff>228600</xdr:colOff>
      <xdr:row>61</xdr:row>
      <xdr:rowOff>15240</xdr:rowOff>
    </xdr:to>
    <xdr:graphicFrame macro="">
      <xdr:nvGraphicFramePr>
        <xdr:cNvPr id="22" name="Chart 21">
          <a:extLst>
            <a:ext uri="{FF2B5EF4-FFF2-40B4-BE49-F238E27FC236}">
              <a16:creationId xmlns:a16="http://schemas.microsoft.com/office/drawing/2014/main" id="{63764D2A-FA95-4B69-9666-13BAADEF90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419100</xdr:colOff>
      <xdr:row>48</xdr:row>
      <xdr:rowOff>137160</xdr:rowOff>
    </xdr:from>
    <xdr:to>
      <xdr:col>16</xdr:col>
      <xdr:colOff>121920</xdr:colOff>
      <xdr:row>61</xdr:row>
      <xdr:rowOff>83820</xdr:rowOff>
    </xdr:to>
    <xdr:graphicFrame macro="">
      <xdr:nvGraphicFramePr>
        <xdr:cNvPr id="23" name="Chart 22">
          <a:extLst>
            <a:ext uri="{FF2B5EF4-FFF2-40B4-BE49-F238E27FC236}">
              <a16:creationId xmlns:a16="http://schemas.microsoft.com/office/drawing/2014/main" id="{3C59CF38-E719-434E-82E2-470DB43F5C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190500</xdr:colOff>
      <xdr:row>48</xdr:row>
      <xdr:rowOff>76200</xdr:rowOff>
    </xdr:from>
    <xdr:to>
      <xdr:col>22</xdr:col>
      <xdr:colOff>358140</xdr:colOff>
      <xdr:row>61</xdr:row>
      <xdr:rowOff>83820</xdr:rowOff>
    </xdr:to>
    <xdr:graphicFrame macro="">
      <xdr:nvGraphicFramePr>
        <xdr:cNvPr id="24" name="Chart 23">
          <a:extLst>
            <a:ext uri="{FF2B5EF4-FFF2-40B4-BE49-F238E27FC236}">
              <a16:creationId xmlns:a16="http://schemas.microsoft.com/office/drawing/2014/main" id="{56D214CE-6885-4EAD-979E-0D860F493B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312420</xdr:colOff>
      <xdr:row>5</xdr:row>
      <xdr:rowOff>167640</xdr:rowOff>
    </xdr:from>
    <xdr:to>
      <xdr:col>2</xdr:col>
      <xdr:colOff>7620</xdr:colOff>
      <xdr:row>10</xdr:row>
      <xdr:rowOff>167640</xdr:rowOff>
    </xdr:to>
    <xdr:sp macro="" textlink="">
      <xdr:nvSpPr>
        <xdr:cNvPr id="25" name="Oval 24">
          <a:extLst>
            <a:ext uri="{FF2B5EF4-FFF2-40B4-BE49-F238E27FC236}">
              <a16:creationId xmlns:a16="http://schemas.microsoft.com/office/drawing/2014/main" id="{CCB045F4-7DB3-615F-7CF0-44EE201D4604}"/>
            </a:ext>
          </a:extLst>
        </xdr:cNvPr>
        <xdr:cNvSpPr/>
      </xdr:nvSpPr>
      <xdr:spPr>
        <a:xfrm>
          <a:off x="312420" y="1082040"/>
          <a:ext cx="914400" cy="914400"/>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i kishore" refreshedDate="45864.23089097222" createdVersion="8" refreshedVersion="8" minRefreshableVersion="3" recordCount="80" xr:uid="{808D5092-FE2D-46FE-BF0B-704FF85CD4F5}">
  <cacheSource type="worksheet">
    <worksheetSource ref="A1:Y81" sheet="Sheet1"/>
  </cacheSource>
  <cacheFields count="25">
    <cacheField name="Movie Title" numFmtId="0">
      <sharedItems count="74">
        <s v="Baahubali 2"/>
        <s v="Pushpa: The Rise"/>
        <s v="RRR"/>
        <s v="Ala Vaikunthapurramuloo"/>
        <s v="Sarkaru Vaari Paata"/>
        <s v="Saaho"/>
        <s v="Jersey"/>
        <s v="Maharshi"/>
        <s v="Arjun Reddy"/>
        <s v="Srimanthudu"/>
        <s v="Eega"/>
        <s v="DJ"/>
        <s v="Bharat Ane Nenu"/>
        <s v="Geetha Govindam"/>
        <s v="F2"/>
        <s v="Sye"/>
        <s v="Magadheera"/>
        <s v="SVSC"/>
        <s v="Race Gurram"/>
        <s v="Guntur Kaaram"/>
        <s v="Bheemla Nayak"/>
        <s v="Dasara"/>
        <s v="Tuck Jagadish"/>
        <s v="Vakeel Saab"/>
        <s v="Love Story"/>
        <s v="Shyam Singha Roy"/>
        <s v="Major"/>
        <s v="Karthikeya 2"/>
        <s v="HIT: The First Case"/>
        <s v="Godfather"/>
        <s v="Acharya"/>
        <s v="Uppena"/>
        <s v="Palasa 1978"/>
        <s v="Goodachari"/>
        <s v="Agent Sai Srinivasa Athreya"/>
        <s v="Middle Class Melodies"/>
        <s v="Evaru"/>
        <s v="Tholi Prema"/>
        <s v="Nannaku Prematho"/>
        <s v="Vedam"/>
        <s v="Julayi"/>
        <s v="Temper"/>
        <s v="Businessman"/>
        <s v="Attarintiki Daredi"/>
        <s v="Gabbar Singh"/>
        <s v="Khaleja"/>
        <s v="Aagadu"/>
        <s v="Janatha Garage"/>
        <s v="Rangasthalam"/>
        <s v="Mirchi"/>
        <s v="Yevadu"/>
        <s v="1: Nenokkadine"/>
        <s v="Legend"/>
        <s v="Lakshyam"/>
        <s v="Kick"/>
        <s v="Manam"/>
        <s v="Hello"/>
        <s v="Bimbisara"/>
        <s v="Virata Parvam"/>
        <s v="Pelli Choopulu"/>
        <s v="RX100"/>
        <s v="Ekkadiki Pothavu Chinnavada"/>
        <s v="Oopiri"/>
        <s v="Soggade Chinni Nayana"/>
        <s v="Loukyam"/>
        <s v="Balupu"/>
        <s v="Bhale Bhale Magadivoy"/>
        <s v="Sahasam"/>
        <s v="Pandaga Chesko"/>
        <s v="Okkadu"/>
        <s v="Arya"/>
        <s v="Arya 2"/>
        <s v="Nuvvostanante Nenoddantana"/>
        <s v="Pokiri"/>
      </sharedItems>
    </cacheField>
    <cacheField name="Year" numFmtId="0">
      <sharedItems containsSemiMixedTypes="0" containsString="0" containsNumber="1" containsInteger="1" minValue="2004" maxValue="2024" count="17">
        <n v="2017"/>
        <n v="2021"/>
        <n v="2022"/>
        <n v="2020"/>
        <n v="2019"/>
        <n v="2015"/>
        <n v="2012"/>
        <n v="2018"/>
        <n v="2004"/>
        <n v="2009"/>
        <n v="2013"/>
        <n v="2014"/>
        <n v="2024"/>
        <n v="2011"/>
        <n v="2023"/>
        <n v="2010"/>
        <n v="2016"/>
      </sharedItems>
    </cacheField>
    <cacheField name="Hero" numFmtId="0">
      <sharedItems count="18">
        <s v="Prabhas"/>
        <s v="Allu Arjun"/>
        <s v="NTR, Ram Charan"/>
        <s v="Mahesh Babu"/>
        <s v="Nani"/>
        <s v="Vijay Deverakonda"/>
        <s v="Venkatesh, Varun Tej"/>
        <s v="Nithiin"/>
        <s v="Ram Charan"/>
        <s v="Mahesh Babu, Venkatesh"/>
        <s v="Pawan Kalyan"/>
        <s v="Sudheer Babu"/>
        <s v="Vijay"/>
        <s v="Ram"/>
        <s v="Naga Chaitanya"/>
        <s v="Ravi Teja"/>
        <s v="Akhil"/>
        <s v="Nikhil"/>
      </sharedItems>
    </cacheField>
    <cacheField name="Genre" numFmtId="0">
      <sharedItems count="10">
        <s v="Action"/>
        <s v="Drama"/>
        <s v="Family"/>
        <s v="Sports Drama"/>
        <s v="Romance"/>
        <s v="Fantasy"/>
        <s v="Political"/>
        <s v="Comedy"/>
        <s v="Sports"/>
        <s v="Thriller"/>
      </sharedItems>
    </cacheField>
    <cacheField name="IMDB Rating" numFmtId="0">
      <sharedItems containsSemiMixedTypes="0" containsString="0" containsNumber="1" minValue="5" maxValue="8.6999999999999993" count="31">
        <n v="8.1999999999999993"/>
        <n v="7.6"/>
        <n v="8.1"/>
        <n v="7.3"/>
        <n v="5.9"/>
        <n v="5"/>
        <n v="8.5"/>
        <n v="7.1"/>
        <n v="8"/>
        <n v="7.5"/>
        <n v="7.7"/>
        <n v="5.6"/>
        <n v="6.6"/>
        <n v="7.2"/>
        <n v="7.4"/>
        <n v="6.1"/>
        <n v="6.3"/>
        <n v="6.4"/>
        <n v="8.3000000000000007"/>
        <n v="5.0999999999999996"/>
        <n v="6.7"/>
        <n v="5.3"/>
        <n v="8.6"/>
        <n v="5.4"/>
        <n v="5.5"/>
        <n v="8.6999999999999993"/>
        <n v="6.2"/>
        <n v="5.7"/>
        <n v="7"/>
        <n v="6.5"/>
        <n v="6.9"/>
      </sharedItems>
    </cacheField>
    <cacheField name="Box Office (₹ Cr)" numFmtId="0">
      <sharedItems containsSemiMixedTypes="0" containsString="0" containsNumber="1" containsInteger="1" minValue="25" maxValue="1810"/>
    </cacheField>
    <cacheField name="Duration (min)" numFmtId="0">
      <sharedItems containsSemiMixedTypes="0" containsString="0" containsNumber="1" containsInteger="1" minValue="120" maxValue="186"/>
    </cacheField>
    <cacheField name="Director" numFmtId="0">
      <sharedItems count="20">
        <s v="S.S. Rajamouli"/>
        <s v="Sukumar"/>
        <s v="Trivikram"/>
        <s v="Parasuram"/>
        <s v="Sujeeth"/>
        <s v="Gowtam Tinnanuri"/>
        <s v="Vamshi Paidipally"/>
        <s v="Sandeep Reddy Vanga"/>
        <s v="Koratala Siva"/>
        <s v="Harish Shankar"/>
        <s v="Anil Ravipudi"/>
        <s v="Srikanth Addala"/>
        <s v="Surender Reddy"/>
        <s v="Venky Atluri"/>
        <s v="Maruthi"/>
        <s v="Krish"/>
        <s v="Bobby"/>
        <s v="Hanu Raghavapudi"/>
        <s v="Boyapati Sreenu"/>
        <s v="Sekhar Kammula"/>
      </sharedItems>
    </cacheField>
    <cacheField name="Language" numFmtId="0">
      <sharedItems/>
    </cacheField>
    <cacheField name="Release Type" numFmtId="0">
      <sharedItems count="3">
        <s v="Pan-India"/>
        <s v="Theatrical"/>
        <s v="OTT"/>
      </sharedItems>
    </cacheField>
    <cacheField name="Budget (₹ Cr)" numFmtId="0">
      <sharedItems containsSemiMixedTypes="0" containsString="0" containsNumber="1" containsInteger="1" minValue="26" maxValue="380" count="63">
        <n v="250"/>
        <n v="370"/>
        <n v="380"/>
        <n v="220"/>
        <n v="217"/>
        <n v="193"/>
        <n v="136"/>
        <n v="132"/>
        <n v="219"/>
        <n v="98"/>
        <n v="54"/>
        <n v="130"/>
        <n v="222"/>
        <n v="67"/>
        <n v="118"/>
        <n v="92"/>
        <n v="143"/>
        <n v="60"/>
        <n v="84"/>
        <n v="199"/>
        <n v="152"/>
        <n v="210"/>
        <n v="137"/>
        <n v="42"/>
        <n v="232"/>
        <n v="204"/>
        <n v="145"/>
        <n v="103"/>
        <n v="72"/>
        <n v="248"/>
        <n v="83"/>
        <n v="102"/>
        <n v="45"/>
        <n v="190"/>
        <n v="164"/>
        <n v="216"/>
        <n v="245"/>
        <n v="138"/>
        <n v="37"/>
        <n v="26"/>
        <n v="94"/>
        <n v="134"/>
        <n v="165"/>
        <n v="243"/>
        <n v="51"/>
        <n v="176"/>
        <n v="196"/>
        <n v="125"/>
        <n v="90"/>
        <n v="184"/>
        <n v="237"/>
        <n v="213"/>
        <n v="74"/>
        <n v="159"/>
        <n v="221"/>
        <n v="129"/>
        <n v="76"/>
        <n v="62"/>
        <n v="95"/>
        <n v="82"/>
        <n v="167"/>
        <n v="235"/>
        <n v="192"/>
      </sharedItems>
    </cacheField>
    <cacheField name="Verdict" numFmtId="0">
      <sharedItems count="5">
        <s v="Flop"/>
        <s v="Blockbuster"/>
        <s v="Average"/>
        <s v="Super Hit"/>
        <s v="Hit"/>
      </sharedItems>
    </cacheField>
    <cacheField name="ROI (%)" numFmtId="0">
      <sharedItems containsSemiMixedTypes="0" containsString="0" containsNumber="1" minValue="-78.099999999999994" maxValue="7140"/>
    </cacheField>
    <cacheField name="Production House" numFmtId="0">
      <sharedItems count="5">
        <s v="Sri Venkateswara Creations"/>
        <s v="Sithara Entertainments"/>
        <s v="Geetha Arts"/>
        <s v="Mythri Movie Makers"/>
        <s v="UV Creations"/>
      </sharedItems>
    </cacheField>
    <cacheField name="Awards Won" numFmtId="0">
      <sharedItems containsSemiMixedTypes="0" containsString="0" containsNumber="1" containsInteger="1" minValue="0" maxValue="10" count="11">
        <n v="2"/>
        <n v="6"/>
        <n v="0"/>
        <n v="7"/>
        <n v="4"/>
        <n v="1"/>
        <n v="10"/>
        <n v="9"/>
        <n v="3"/>
        <n v="5"/>
        <n v="8"/>
      </sharedItems>
    </cacheField>
    <cacheField name="OTT Platform" numFmtId="0">
      <sharedItems/>
    </cacheField>
    <cacheField name="Critic Rating (/10)" numFmtId="0">
      <sharedItems containsSemiMixedTypes="0" containsString="0" containsNumber="1" minValue="5" maxValue="9.5"/>
    </cacheField>
    <cacheField name="User Votes" numFmtId="0">
      <sharedItems containsSemiMixedTypes="0" containsString="0" containsNumber="1" containsInteger="1" minValue="1420" maxValue="99954"/>
    </cacheField>
    <cacheField name="Songs Count" numFmtId="0">
      <sharedItems containsSemiMixedTypes="0" containsString="0" containsNumber="1" containsInteger="1" minValue="3" maxValue="7" count="5">
        <n v="7"/>
        <n v="5"/>
        <n v="4"/>
        <n v="3"/>
        <n v="6"/>
      </sharedItems>
    </cacheField>
    <cacheField name="Shooting Location" numFmtId="0">
      <sharedItems/>
    </cacheField>
    <cacheField name="No. of Screens" numFmtId="0">
      <sharedItems containsSemiMixedTypes="0" containsString="0" containsNumber="1" containsInteger="1" minValue="302" maxValue="2500"/>
    </cacheField>
    <cacheField name="Digital Rights" numFmtId="0">
      <sharedItems/>
    </cacheField>
    <cacheField name="Satellite Rights (₹ Cr)" numFmtId="0">
      <sharedItems containsSemiMixedTypes="0" containsString="0" containsNumber="1" minValue="2.1800000000000002" maxValue="29.88"/>
    </cacheField>
    <cacheField name="Music Rights (₹ Cr)" numFmtId="0">
      <sharedItems containsSemiMixedTypes="0" containsString="0" containsNumber="1" minValue="0.52" maxValue="9.9700000000000006"/>
    </cacheField>
    <cacheField name="Opening Day Collection (₹ Cr)" numFmtId="0">
      <sharedItems containsSemiMixedTypes="0" containsString="0" containsNumber="1" minValue="2.71" maxValue="49.96"/>
    </cacheField>
  </cacheFields>
  <extLst>
    <ext xmlns:x14="http://schemas.microsoft.com/office/spreadsheetml/2009/9/main" uri="{725AE2AE-9491-48be-B2B4-4EB974FC3084}">
      <x14:pivotCacheDefinition pivotCacheId="8984534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
  <r>
    <x v="0"/>
    <x v="0"/>
    <x v="0"/>
    <x v="0"/>
    <x v="0"/>
    <n v="1810"/>
    <n v="171"/>
    <x v="0"/>
    <s v="Tamil (Dub)"/>
    <x v="0"/>
    <x v="0"/>
    <x v="0"/>
    <n v="7140"/>
    <x v="0"/>
    <x v="0"/>
    <s v="SonyLIV"/>
    <n v="9.3000000000000007"/>
    <n v="81906"/>
    <x v="0"/>
    <s v="Chennai"/>
    <n v="2122"/>
    <s v="Netflix"/>
    <n v="13.07"/>
    <n v="5.32"/>
    <n v="2.93"/>
  </r>
  <r>
    <x v="1"/>
    <x v="1"/>
    <x v="1"/>
    <x v="0"/>
    <x v="1"/>
    <n v="360"/>
    <n v="179"/>
    <x v="1"/>
    <s v="Tamil (Dub)"/>
    <x v="1"/>
    <x v="1"/>
    <x v="1"/>
    <n v="872.97"/>
    <x v="0"/>
    <x v="1"/>
    <s v="Aha"/>
    <n v="5.5"/>
    <n v="10514"/>
    <x v="1"/>
    <s v="Goa"/>
    <n v="1536"/>
    <s v="ZEE5"/>
    <n v="13.53"/>
    <n v="0.54"/>
    <n v="11.05"/>
  </r>
  <r>
    <x v="2"/>
    <x v="2"/>
    <x v="2"/>
    <x v="1"/>
    <x v="2"/>
    <n v="1230"/>
    <n v="182"/>
    <x v="0"/>
    <s v="Pan-India"/>
    <x v="0"/>
    <x v="2"/>
    <x v="2"/>
    <n v="3136.84"/>
    <x v="1"/>
    <x v="1"/>
    <s v="SonyLIV"/>
    <n v="8.8000000000000007"/>
    <n v="2373"/>
    <x v="2"/>
    <s v="Chennai"/>
    <n v="1743"/>
    <s v="Hotstar"/>
    <n v="25.22"/>
    <n v="7.1"/>
    <n v="2.73"/>
  </r>
  <r>
    <x v="3"/>
    <x v="3"/>
    <x v="1"/>
    <x v="2"/>
    <x v="3"/>
    <n v="280"/>
    <n v="165"/>
    <x v="2"/>
    <s v="Telugu"/>
    <x v="1"/>
    <x v="3"/>
    <x v="0"/>
    <n v="1172.73"/>
    <x v="1"/>
    <x v="1"/>
    <s v="Amazon Prime"/>
    <n v="5.5"/>
    <n v="91938"/>
    <x v="2"/>
    <s v="Vizag"/>
    <n v="1806"/>
    <s v="Hotstar"/>
    <n v="29.22"/>
    <n v="1.0900000000000001"/>
    <n v="42.54"/>
  </r>
  <r>
    <x v="4"/>
    <x v="2"/>
    <x v="3"/>
    <x v="0"/>
    <x v="4"/>
    <n v="200"/>
    <n v="162"/>
    <x v="3"/>
    <s v="Telugu"/>
    <x v="1"/>
    <x v="4"/>
    <x v="0"/>
    <n v="-7.83"/>
    <x v="0"/>
    <x v="2"/>
    <s v="SonyLIV"/>
    <n v="5.3"/>
    <n v="63456"/>
    <x v="2"/>
    <s v="Goa"/>
    <n v="2280"/>
    <s v="Hotstar"/>
    <n v="23.19"/>
    <n v="3.95"/>
    <n v="35"/>
  </r>
  <r>
    <x v="5"/>
    <x v="4"/>
    <x v="0"/>
    <x v="0"/>
    <x v="5"/>
    <n v="433"/>
    <n v="170"/>
    <x v="4"/>
    <s v="Tamil (Dub)"/>
    <x v="0"/>
    <x v="0"/>
    <x v="3"/>
    <n v="73.2"/>
    <x v="0"/>
    <x v="3"/>
    <s v="SonyLIV"/>
    <n v="7"/>
    <n v="36003"/>
    <x v="1"/>
    <s v="Chennai"/>
    <n v="302"/>
    <s v="Amazon Prime"/>
    <n v="10.02"/>
    <n v="2.14"/>
    <n v="40.880000000000003"/>
  </r>
  <r>
    <x v="6"/>
    <x v="4"/>
    <x v="4"/>
    <x v="3"/>
    <x v="6"/>
    <n v="75"/>
    <n v="157"/>
    <x v="5"/>
    <s v="Hindi (Dub)"/>
    <x v="2"/>
    <x v="4"/>
    <x v="3"/>
    <n v="-65.44"/>
    <x v="2"/>
    <x v="4"/>
    <s v="Zee5"/>
    <n v="8"/>
    <n v="68897"/>
    <x v="2"/>
    <s v="Chennai"/>
    <n v="2137"/>
    <s v="ZEE5"/>
    <n v="27.68"/>
    <n v="2"/>
    <n v="20.21"/>
  </r>
  <r>
    <x v="7"/>
    <x v="4"/>
    <x v="3"/>
    <x v="0"/>
    <x v="7"/>
    <n v="175"/>
    <n v="176"/>
    <x v="6"/>
    <s v="Hindi (Dub)"/>
    <x v="2"/>
    <x v="5"/>
    <x v="1"/>
    <n v="-9.33"/>
    <x v="1"/>
    <x v="5"/>
    <s v="Netflix"/>
    <n v="5.4"/>
    <n v="70201"/>
    <x v="3"/>
    <s v="Hyderabad"/>
    <n v="904"/>
    <s v="Amazon Prime"/>
    <n v="25.84"/>
    <n v="1.32"/>
    <n v="47.53"/>
  </r>
  <r>
    <x v="8"/>
    <x v="0"/>
    <x v="5"/>
    <x v="4"/>
    <x v="8"/>
    <n v="50"/>
    <n v="186"/>
    <x v="7"/>
    <s v="Pan-India"/>
    <x v="2"/>
    <x v="6"/>
    <x v="3"/>
    <n v="-63.24"/>
    <x v="2"/>
    <x v="3"/>
    <s v="Aha"/>
    <n v="8.4"/>
    <n v="41805"/>
    <x v="1"/>
    <s v="Hyderabad"/>
    <n v="721"/>
    <s v="Amazon Prime"/>
    <n v="21.69"/>
    <n v="6.58"/>
    <n v="2.81"/>
  </r>
  <r>
    <x v="9"/>
    <x v="5"/>
    <x v="3"/>
    <x v="1"/>
    <x v="9"/>
    <n v="200"/>
    <n v="158"/>
    <x v="8"/>
    <s v="Tamil (Dub)"/>
    <x v="2"/>
    <x v="7"/>
    <x v="4"/>
    <n v="51.52"/>
    <x v="3"/>
    <x v="5"/>
    <s v="Hotstar"/>
    <n v="5.7"/>
    <n v="67877"/>
    <x v="0"/>
    <s v="Hyderabad"/>
    <n v="2138"/>
    <s v="ZEE5"/>
    <n v="29.72"/>
    <n v="3.49"/>
    <n v="46.56"/>
  </r>
  <r>
    <x v="10"/>
    <x v="6"/>
    <x v="4"/>
    <x v="5"/>
    <x v="10"/>
    <n v="130"/>
    <n v="145"/>
    <x v="0"/>
    <s v="Telugu"/>
    <x v="2"/>
    <x v="8"/>
    <x v="2"/>
    <n v="-40.64"/>
    <x v="2"/>
    <x v="3"/>
    <s v="Zee5"/>
    <n v="5.0999999999999996"/>
    <n v="47487"/>
    <x v="0"/>
    <s v="Vizag"/>
    <n v="1829"/>
    <s v="Amazon Prime"/>
    <n v="13.87"/>
    <n v="3.16"/>
    <n v="35.270000000000003"/>
  </r>
  <r>
    <x v="11"/>
    <x v="0"/>
    <x v="1"/>
    <x v="0"/>
    <x v="11"/>
    <n v="150"/>
    <n v="160"/>
    <x v="9"/>
    <s v="Telugu"/>
    <x v="0"/>
    <x v="9"/>
    <x v="0"/>
    <n v="53.06"/>
    <x v="3"/>
    <x v="4"/>
    <s v="SonyLIV"/>
    <n v="6.8"/>
    <n v="27278"/>
    <x v="2"/>
    <s v="Chennai"/>
    <n v="2052"/>
    <s v="ZEE5"/>
    <n v="18.55"/>
    <n v="0.98"/>
    <n v="7.83"/>
  </r>
  <r>
    <x v="12"/>
    <x v="7"/>
    <x v="3"/>
    <x v="6"/>
    <x v="10"/>
    <n v="230"/>
    <n v="173"/>
    <x v="8"/>
    <s v="Tamil (Dub)"/>
    <x v="1"/>
    <x v="10"/>
    <x v="4"/>
    <n v="325.93"/>
    <x v="3"/>
    <x v="6"/>
    <s v="Hotstar"/>
    <n v="5.9"/>
    <n v="57800"/>
    <x v="3"/>
    <s v="Hyderabad"/>
    <n v="722"/>
    <s v="Hotstar"/>
    <n v="16.32"/>
    <n v="4.57"/>
    <n v="15.21"/>
  </r>
  <r>
    <x v="13"/>
    <x v="7"/>
    <x v="5"/>
    <x v="4"/>
    <x v="10"/>
    <n v="125"/>
    <n v="142"/>
    <x v="3"/>
    <s v="Pan-India"/>
    <x v="0"/>
    <x v="11"/>
    <x v="2"/>
    <n v="-3.85"/>
    <x v="2"/>
    <x v="3"/>
    <s v="Netflix"/>
    <n v="5.7"/>
    <n v="70418"/>
    <x v="3"/>
    <s v="Kerala"/>
    <n v="900"/>
    <s v="Amazon Prime"/>
    <n v="25.09"/>
    <n v="5.94"/>
    <n v="13.43"/>
  </r>
  <r>
    <x v="14"/>
    <x v="4"/>
    <x v="6"/>
    <x v="7"/>
    <x v="12"/>
    <n v="140"/>
    <n v="148"/>
    <x v="10"/>
    <s v="Tamil (Dub)"/>
    <x v="2"/>
    <x v="12"/>
    <x v="0"/>
    <n v="-36.94"/>
    <x v="1"/>
    <x v="2"/>
    <s v="Netflix"/>
    <n v="5.5"/>
    <n v="16682"/>
    <x v="3"/>
    <s v="Hyderabad"/>
    <n v="1642"/>
    <s v="Netflix"/>
    <n v="10.28"/>
    <n v="2.0699999999999998"/>
    <n v="22.29"/>
  </r>
  <r>
    <x v="15"/>
    <x v="8"/>
    <x v="7"/>
    <x v="8"/>
    <x v="13"/>
    <n v="25"/>
    <n v="155"/>
    <x v="0"/>
    <s v="Telugu"/>
    <x v="0"/>
    <x v="13"/>
    <x v="1"/>
    <n v="-62.69"/>
    <x v="2"/>
    <x v="7"/>
    <s v="SonyLIV"/>
    <n v="5.5"/>
    <n v="18416"/>
    <x v="3"/>
    <s v="Hyderabad"/>
    <n v="2396"/>
    <s v="SonyLIV"/>
    <n v="27.71"/>
    <n v="1.96"/>
    <n v="37.159999999999997"/>
  </r>
  <r>
    <x v="16"/>
    <x v="9"/>
    <x v="8"/>
    <x v="5"/>
    <x v="10"/>
    <n v="150"/>
    <n v="166"/>
    <x v="0"/>
    <s v="Pan-India"/>
    <x v="2"/>
    <x v="14"/>
    <x v="3"/>
    <n v="27.12"/>
    <x v="0"/>
    <x v="2"/>
    <s v="Hotstar"/>
    <n v="7.9"/>
    <n v="60318"/>
    <x v="3"/>
    <s v="Vizag"/>
    <n v="1757"/>
    <s v="ZEE5"/>
    <n v="2.99"/>
    <n v="8.3699999999999992"/>
    <n v="8.66"/>
  </r>
  <r>
    <x v="17"/>
    <x v="10"/>
    <x v="9"/>
    <x v="2"/>
    <x v="3"/>
    <n v="55"/>
    <n v="160"/>
    <x v="11"/>
    <s v="Hindi (Dub)"/>
    <x v="0"/>
    <x v="15"/>
    <x v="4"/>
    <n v="-40.22"/>
    <x v="2"/>
    <x v="6"/>
    <s v="SonyLIV"/>
    <n v="9.3000000000000007"/>
    <n v="31421"/>
    <x v="2"/>
    <s v="Kerala"/>
    <n v="2500"/>
    <s v="Amazon Prime"/>
    <n v="18.71"/>
    <n v="0.98"/>
    <n v="3.18"/>
  </r>
  <r>
    <x v="18"/>
    <x v="11"/>
    <x v="1"/>
    <x v="0"/>
    <x v="14"/>
    <n v="135"/>
    <n v="160"/>
    <x v="12"/>
    <s v="Telugu"/>
    <x v="2"/>
    <x v="16"/>
    <x v="4"/>
    <n v="-5.59"/>
    <x v="2"/>
    <x v="0"/>
    <s v="SonyLIV"/>
    <n v="5.6"/>
    <n v="20950"/>
    <x v="3"/>
    <s v="Chennai"/>
    <n v="840"/>
    <s v="Amazon Prime"/>
    <n v="14.05"/>
    <n v="3.93"/>
    <n v="18.260000000000002"/>
  </r>
  <r>
    <x v="19"/>
    <x v="12"/>
    <x v="3"/>
    <x v="0"/>
    <x v="15"/>
    <n v="210"/>
    <n v="170"/>
    <x v="2"/>
    <s v="Telugu"/>
    <x v="1"/>
    <x v="17"/>
    <x v="4"/>
    <n v="250"/>
    <x v="1"/>
    <x v="8"/>
    <s v="Netflix"/>
    <n v="9.1"/>
    <n v="76142"/>
    <x v="1"/>
    <s v="Vizag"/>
    <n v="1498"/>
    <s v="Netflix"/>
    <n v="21.08"/>
    <n v="5.77"/>
    <n v="5.15"/>
  </r>
  <r>
    <x v="20"/>
    <x v="13"/>
    <x v="7"/>
    <x v="0"/>
    <x v="16"/>
    <n v="574"/>
    <n v="149"/>
    <x v="13"/>
    <s v="Pan-India"/>
    <x v="2"/>
    <x v="11"/>
    <x v="3"/>
    <n v="341.54"/>
    <x v="4"/>
    <x v="8"/>
    <s v="Zee5"/>
    <n v="5.9"/>
    <n v="88807"/>
    <x v="4"/>
    <s v="Kerala"/>
    <n v="1087"/>
    <s v="Netflix"/>
    <n v="4.5599999999999996"/>
    <n v="0.52"/>
    <n v="18.100000000000001"/>
  </r>
  <r>
    <x v="21"/>
    <x v="5"/>
    <x v="10"/>
    <x v="6"/>
    <x v="17"/>
    <n v="373"/>
    <n v="180"/>
    <x v="10"/>
    <s v="Telugu"/>
    <x v="0"/>
    <x v="18"/>
    <x v="4"/>
    <n v="344.05"/>
    <x v="1"/>
    <x v="6"/>
    <s v="Aha"/>
    <n v="7.8"/>
    <n v="81488"/>
    <x v="4"/>
    <s v="Hyderabad"/>
    <n v="2188"/>
    <s v="ZEE5"/>
    <n v="11.82"/>
    <n v="6.33"/>
    <n v="15.07"/>
  </r>
  <r>
    <x v="22"/>
    <x v="14"/>
    <x v="11"/>
    <x v="1"/>
    <x v="9"/>
    <n v="203"/>
    <n v="143"/>
    <x v="14"/>
    <s v="Hindi (Dub)"/>
    <x v="1"/>
    <x v="19"/>
    <x v="1"/>
    <n v="2.0099999999999998"/>
    <x v="0"/>
    <x v="4"/>
    <s v="Hotstar"/>
    <n v="5.5"/>
    <n v="90193"/>
    <x v="0"/>
    <s v="Chennai"/>
    <n v="1699"/>
    <s v="SonyLIV"/>
    <n v="13.3"/>
    <n v="5.5"/>
    <n v="22.1"/>
  </r>
  <r>
    <x v="23"/>
    <x v="2"/>
    <x v="11"/>
    <x v="4"/>
    <x v="14"/>
    <n v="189"/>
    <n v="141"/>
    <x v="15"/>
    <s v="Hindi (Dub)"/>
    <x v="2"/>
    <x v="20"/>
    <x v="0"/>
    <n v="24.34"/>
    <x v="1"/>
    <x v="4"/>
    <s v="Hotstar"/>
    <n v="8.8000000000000007"/>
    <n v="82346"/>
    <x v="0"/>
    <s v="Chennai"/>
    <n v="2246"/>
    <s v="ZEE5"/>
    <n v="22.95"/>
    <n v="5.45"/>
    <n v="26.24"/>
  </r>
  <r>
    <x v="24"/>
    <x v="4"/>
    <x v="12"/>
    <x v="2"/>
    <x v="7"/>
    <n v="556"/>
    <n v="127"/>
    <x v="10"/>
    <s v="Hindi (Dub)"/>
    <x v="0"/>
    <x v="21"/>
    <x v="4"/>
    <n v="164.76"/>
    <x v="4"/>
    <x v="2"/>
    <s v="Aha"/>
    <n v="6.8"/>
    <n v="30754"/>
    <x v="2"/>
    <s v="Vizag"/>
    <n v="2224"/>
    <s v="Amazon Prime"/>
    <n v="9.74"/>
    <n v="4.2300000000000004"/>
    <n v="31.5"/>
  </r>
  <r>
    <x v="25"/>
    <x v="6"/>
    <x v="13"/>
    <x v="2"/>
    <x v="0"/>
    <n v="474"/>
    <n v="148"/>
    <x v="14"/>
    <s v="Pan-India"/>
    <x v="2"/>
    <x v="22"/>
    <x v="3"/>
    <n v="245.99"/>
    <x v="3"/>
    <x v="0"/>
    <s v="Zee5"/>
    <n v="9.5"/>
    <n v="18521"/>
    <x v="0"/>
    <s v="Chennai"/>
    <n v="1949"/>
    <s v="Amazon Prime"/>
    <n v="17.09"/>
    <n v="2.5099999999999998"/>
    <n v="26.22"/>
  </r>
  <r>
    <x v="26"/>
    <x v="5"/>
    <x v="14"/>
    <x v="6"/>
    <x v="18"/>
    <n v="276"/>
    <n v="163"/>
    <x v="16"/>
    <s v="Tamil (Dub)"/>
    <x v="2"/>
    <x v="23"/>
    <x v="0"/>
    <n v="557.14"/>
    <x v="3"/>
    <x v="9"/>
    <s v="Hotstar"/>
    <n v="8.8000000000000007"/>
    <n v="73707"/>
    <x v="2"/>
    <s v="Kerala"/>
    <n v="1883"/>
    <s v="Netflix"/>
    <n v="5.1100000000000003"/>
    <n v="3.53"/>
    <n v="44.66"/>
  </r>
  <r>
    <x v="27"/>
    <x v="12"/>
    <x v="4"/>
    <x v="4"/>
    <x v="15"/>
    <n v="397"/>
    <n v="142"/>
    <x v="13"/>
    <s v="Tamil (Dub)"/>
    <x v="1"/>
    <x v="24"/>
    <x v="3"/>
    <n v="71.12"/>
    <x v="0"/>
    <x v="5"/>
    <s v="Zee5"/>
    <n v="6.1"/>
    <n v="94934"/>
    <x v="1"/>
    <s v="Chennai"/>
    <n v="1134"/>
    <s v="Amazon Prime"/>
    <n v="22.26"/>
    <n v="0.57999999999999996"/>
    <n v="26.73"/>
  </r>
  <r>
    <x v="28"/>
    <x v="15"/>
    <x v="11"/>
    <x v="2"/>
    <x v="19"/>
    <n v="389"/>
    <n v="144"/>
    <x v="17"/>
    <s v="Tamil (Dub)"/>
    <x v="2"/>
    <x v="25"/>
    <x v="2"/>
    <n v="90.69"/>
    <x v="1"/>
    <x v="9"/>
    <s v="Zee5"/>
    <n v="6.4"/>
    <n v="73961"/>
    <x v="0"/>
    <s v="Chennai"/>
    <n v="1548"/>
    <s v="Netflix"/>
    <n v="25.48"/>
    <n v="4.62"/>
    <n v="14.12"/>
  </r>
  <r>
    <x v="29"/>
    <x v="10"/>
    <x v="14"/>
    <x v="9"/>
    <x v="0"/>
    <n v="283"/>
    <n v="161"/>
    <x v="15"/>
    <s v="Telugu"/>
    <x v="0"/>
    <x v="26"/>
    <x v="0"/>
    <n v="95.17"/>
    <x v="2"/>
    <x v="0"/>
    <s v="Zee5"/>
    <n v="5.9"/>
    <n v="66794"/>
    <x v="2"/>
    <s v="Vizag"/>
    <n v="2126"/>
    <s v="Hotstar"/>
    <n v="22.67"/>
    <n v="5.48"/>
    <n v="10.55"/>
  </r>
  <r>
    <x v="30"/>
    <x v="2"/>
    <x v="4"/>
    <x v="7"/>
    <x v="20"/>
    <n v="78"/>
    <n v="178"/>
    <x v="13"/>
    <s v="Pan-India"/>
    <x v="1"/>
    <x v="27"/>
    <x v="2"/>
    <n v="-24.27"/>
    <x v="2"/>
    <x v="5"/>
    <s v="Aha"/>
    <n v="5.6"/>
    <n v="85366"/>
    <x v="1"/>
    <s v="Chennai"/>
    <n v="1519"/>
    <s v="Netflix"/>
    <n v="9.02"/>
    <n v="9"/>
    <n v="34.65"/>
  </r>
  <r>
    <x v="31"/>
    <x v="13"/>
    <x v="14"/>
    <x v="4"/>
    <x v="6"/>
    <n v="233"/>
    <n v="159"/>
    <x v="14"/>
    <s v="Tamil (Dub)"/>
    <x v="0"/>
    <x v="28"/>
    <x v="3"/>
    <n v="223.61"/>
    <x v="4"/>
    <x v="4"/>
    <s v="Aha"/>
    <n v="8.4"/>
    <n v="42893"/>
    <x v="1"/>
    <s v="Hyderabad"/>
    <n v="1582"/>
    <s v="Amazon Prime"/>
    <n v="21.82"/>
    <n v="5.22"/>
    <n v="41.1"/>
  </r>
  <r>
    <x v="32"/>
    <x v="2"/>
    <x v="15"/>
    <x v="5"/>
    <x v="15"/>
    <n v="173"/>
    <n v="143"/>
    <x v="17"/>
    <s v="Tamil (Dub)"/>
    <x v="2"/>
    <x v="29"/>
    <x v="4"/>
    <n v="-30.24"/>
    <x v="0"/>
    <x v="4"/>
    <s v="Netflix"/>
    <n v="7.7"/>
    <n v="47057"/>
    <x v="1"/>
    <s v="Vizag"/>
    <n v="1821"/>
    <s v="Hotstar"/>
    <n v="25.29"/>
    <n v="9.44"/>
    <n v="34.19"/>
  </r>
  <r>
    <x v="33"/>
    <x v="13"/>
    <x v="13"/>
    <x v="4"/>
    <x v="7"/>
    <n v="192"/>
    <n v="178"/>
    <x v="16"/>
    <s v="Tamil (Dub)"/>
    <x v="2"/>
    <x v="8"/>
    <x v="1"/>
    <n v="-12.33"/>
    <x v="3"/>
    <x v="3"/>
    <s v="Netflix"/>
    <n v="6.1"/>
    <n v="35061"/>
    <x v="3"/>
    <s v="Vizag"/>
    <n v="1591"/>
    <s v="ZEE5"/>
    <n v="2.41"/>
    <n v="8.7200000000000006"/>
    <n v="2.71"/>
  </r>
  <r>
    <x v="34"/>
    <x v="15"/>
    <x v="10"/>
    <x v="1"/>
    <x v="21"/>
    <n v="545"/>
    <n v="163"/>
    <x v="10"/>
    <s v="Telugu"/>
    <x v="1"/>
    <x v="30"/>
    <x v="3"/>
    <n v="556.63"/>
    <x v="0"/>
    <x v="3"/>
    <s v="Amazon Prime"/>
    <n v="6.5"/>
    <n v="40797"/>
    <x v="4"/>
    <s v="Chennai"/>
    <n v="1615"/>
    <s v="Netflix"/>
    <n v="5.59"/>
    <n v="4.95"/>
    <n v="44.37"/>
  </r>
  <r>
    <x v="35"/>
    <x v="7"/>
    <x v="16"/>
    <x v="5"/>
    <x v="20"/>
    <n v="150"/>
    <n v="142"/>
    <x v="15"/>
    <s v="Tamil (Dub)"/>
    <x v="1"/>
    <x v="31"/>
    <x v="2"/>
    <n v="47.06"/>
    <x v="0"/>
    <x v="0"/>
    <s v="Aha"/>
    <n v="7"/>
    <n v="90560"/>
    <x v="2"/>
    <s v="Chennai"/>
    <n v="439"/>
    <s v="Amazon Prime"/>
    <n v="10.36"/>
    <n v="5.93"/>
    <n v="13"/>
  </r>
  <r>
    <x v="36"/>
    <x v="10"/>
    <x v="14"/>
    <x v="0"/>
    <x v="22"/>
    <n v="154"/>
    <n v="173"/>
    <x v="16"/>
    <s v="Telugu"/>
    <x v="0"/>
    <x v="32"/>
    <x v="1"/>
    <n v="242.22"/>
    <x v="0"/>
    <x v="4"/>
    <s v="Netflix"/>
    <n v="6"/>
    <n v="6772"/>
    <x v="4"/>
    <s v="Vizag"/>
    <n v="794"/>
    <s v="Amazon Prime"/>
    <n v="26.55"/>
    <n v="7.2"/>
    <n v="46.8"/>
  </r>
  <r>
    <x v="37"/>
    <x v="5"/>
    <x v="4"/>
    <x v="9"/>
    <x v="23"/>
    <n v="431"/>
    <n v="158"/>
    <x v="14"/>
    <s v="Hindi (Dub)"/>
    <x v="0"/>
    <x v="33"/>
    <x v="1"/>
    <n v="126.84"/>
    <x v="4"/>
    <x v="9"/>
    <s v="Aha"/>
    <n v="7.7"/>
    <n v="48860"/>
    <x v="2"/>
    <s v="Hyderabad"/>
    <n v="2378"/>
    <s v="Netflix"/>
    <n v="15.84"/>
    <n v="4.33"/>
    <n v="41.86"/>
  </r>
  <r>
    <x v="38"/>
    <x v="15"/>
    <x v="10"/>
    <x v="1"/>
    <x v="11"/>
    <n v="534"/>
    <n v="177"/>
    <x v="18"/>
    <s v="Hindi (Dub)"/>
    <x v="2"/>
    <x v="34"/>
    <x v="0"/>
    <n v="225.61"/>
    <x v="0"/>
    <x v="0"/>
    <s v="Netflix"/>
    <n v="6.6"/>
    <n v="21943"/>
    <x v="3"/>
    <s v="Vizag"/>
    <n v="836"/>
    <s v="Hotstar"/>
    <n v="14.85"/>
    <n v="1.39"/>
    <n v="28.99"/>
  </r>
  <r>
    <x v="39"/>
    <x v="11"/>
    <x v="15"/>
    <x v="2"/>
    <x v="14"/>
    <n v="476"/>
    <n v="144"/>
    <x v="14"/>
    <s v="Hindi (Dub)"/>
    <x v="2"/>
    <x v="20"/>
    <x v="1"/>
    <n v="213.16"/>
    <x v="2"/>
    <x v="7"/>
    <s v="Netflix"/>
    <n v="9.4"/>
    <n v="38543"/>
    <x v="4"/>
    <s v="Kerala"/>
    <n v="432"/>
    <s v="Netflix"/>
    <n v="26.04"/>
    <n v="4.22"/>
    <n v="3.1"/>
  </r>
  <r>
    <x v="40"/>
    <x v="0"/>
    <x v="7"/>
    <x v="7"/>
    <x v="12"/>
    <n v="110"/>
    <n v="162"/>
    <x v="19"/>
    <s v="Tamil (Dub)"/>
    <x v="1"/>
    <x v="35"/>
    <x v="3"/>
    <n v="-49.07"/>
    <x v="3"/>
    <x v="0"/>
    <s v="Amazon Prime"/>
    <n v="5.7"/>
    <n v="43135"/>
    <x v="2"/>
    <s v="Hyderabad"/>
    <n v="819"/>
    <s v="SonyLIV"/>
    <n v="6.46"/>
    <n v="2.98"/>
    <n v="8.01"/>
  </r>
  <r>
    <x v="41"/>
    <x v="4"/>
    <x v="12"/>
    <x v="0"/>
    <x v="9"/>
    <n v="322"/>
    <n v="149"/>
    <x v="15"/>
    <s v="Telugu"/>
    <x v="0"/>
    <x v="7"/>
    <x v="1"/>
    <n v="143.94"/>
    <x v="4"/>
    <x v="7"/>
    <s v="Netflix"/>
    <n v="7.9"/>
    <n v="7395"/>
    <x v="4"/>
    <s v="Vizag"/>
    <n v="955"/>
    <s v="Amazon Prime"/>
    <n v="29.61"/>
    <n v="4.84"/>
    <n v="25.04"/>
  </r>
  <r>
    <x v="42"/>
    <x v="4"/>
    <x v="12"/>
    <x v="0"/>
    <x v="8"/>
    <n v="375"/>
    <n v="139"/>
    <x v="15"/>
    <s v="Hindi (Dub)"/>
    <x v="1"/>
    <x v="27"/>
    <x v="4"/>
    <n v="264.08"/>
    <x v="1"/>
    <x v="7"/>
    <s v="Aha"/>
    <n v="7.3"/>
    <n v="6711"/>
    <x v="2"/>
    <s v="Goa"/>
    <n v="1728"/>
    <s v="SonyLIV"/>
    <n v="2.1800000000000002"/>
    <n v="9.6300000000000008"/>
    <n v="28.78"/>
  </r>
  <r>
    <x v="43"/>
    <x v="7"/>
    <x v="16"/>
    <x v="6"/>
    <x v="24"/>
    <n v="388"/>
    <n v="176"/>
    <x v="10"/>
    <s v="Hindi (Dub)"/>
    <x v="0"/>
    <x v="36"/>
    <x v="4"/>
    <n v="58.37"/>
    <x v="0"/>
    <x v="4"/>
    <s v="SonyLIV"/>
    <n v="5.8"/>
    <n v="58375"/>
    <x v="2"/>
    <s v="Kerala"/>
    <n v="1014"/>
    <s v="SonyLIV"/>
    <n v="27.66"/>
    <n v="2.84"/>
    <n v="12.45"/>
  </r>
  <r>
    <x v="44"/>
    <x v="7"/>
    <x v="16"/>
    <x v="4"/>
    <x v="20"/>
    <n v="328"/>
    <n v="149"/>
    <x v="18"/>
    <s v="Pan-India"/>
    <x v="0"/>
    <x v="37"/>
    <x v="2"/>
    <n v="137.68"/>
    <x v="2"/>
    <x v="4"/>
    <s v="Hotstar"/>
    <n v="5.0999999999999996"/>
    <n v="8079"/>
    <x v="4"/>
    <s v="Vizag"/>
    <n v="322"/>
    <s v="SonyLIV"/>
    <n v="17.260000000000002"/>
    <n v="2.83"/>
    <n v="25.85"/>
  </r>
  <r>
    <x v="45"/>
    <x v="1"/>
    <x v="16"/>
    <x v="6"/>
    <x v="13"/>
    <n v="596"/>
    <n v="158"/>
    <x v="10"/>
    <s v="Pan-India"/>
    <x v="2"/>
    <x v="38"/>
    <x v="3"/>
    <n v="1510.81"/>
    <x v="4"/>
    <x v="8"/>
    <s v="Netflix"/>
    <n v="8.3000000000000007"/>
    <n v="67573"/>
    <x v="0"/>
    <s v="Hyderabad"/>
    <n v="1543"/>
    <s v="ZEE5"/>
    <n v="8.23"/>
    <n v="4.03"/>
    <n v="26.38"/>
  </r>
  <r>
    <x v="46"/>
    <x v="11"/>
    <x v="4"/>
    <x v="6"/>
    <x v="0"/>
    <n v="104"/>
    <n v="120"/>
    <x v="17"/>
    <s v="Telugu"/>
    <x v="0"/>
    <x v="39"/>
    <x v="4"/>
    <n v="300"/>
    <x v="4"/>
    <x v="1"/>
    <s v="Aha"/>
    <n v="6.5"/>
    <n v="34911"/>
    <x v="4"/>
    <s v="Goa"/>
    <n v="1772"/>
    <s v="Netflix"/>
    <n v="23.96"/>
    <n v="7.05"/>
    <n v="28.87"/>
  </r>
  <r>
    <x v="47"/>
    <x v="1"/>
    <x v="12"/>
    <x v="5"/>
    <x v="25"/>
    <n v="102"/>
    <n v="172"/>
    <x v="19"/>
    <s v="Tamil (Dub)"/>
    <x v="1"/>
    <x v="40"/>
    <x v="4"/>
    <n v="8.51"/>
    <x v="3"/>
    <x v="8"/>
    <s v="Aha"/>
    <n v="9.3000000000000007"/>
    <n v="86119"/>
    <x v="1"/>
    <s v="Chennai"/>
    <n v="1169"/>
    <s v="Netflix"/>
    <n v="20.38"/>
    <n v="9.9"/>
    <n v="21.12"/>
  </r>
  <r>
    <x v="48"/>
    <x v="0"/>
    <x v="4"/>
    <x v="9"/>
    <x v="5"/>
    <n v="179"/>
    <n v="171"/>
    <x v="10"/>
    <s v="Telugu"/>
    <x v="2"/>
    <x v="41"/>
    <x v="4"/>
    <n v="33.58"/>
    <x v="2"/>
    <x v="10"/>
    <s v="Hotstar"/>
    <n v="6.8"/>
    <n v="69042"/>
    <x v="2"/>
    <s v="Kerala"/>
    <n v="838"/>
    <s v="Hotstar"/>
    <n v="3.92"/>
    <n v="8.77"/>
    <n v="25.3"/>
  </r>
  <r>
    <x v="49"/>
    <x v="1"/>
    <x v="4"/>
    <x v="1"/>
    <x v="26"/>
    <n v="359"/>
    <n v="127"/>
    <x v="17"/>
    <s v="Telugu"/>
    <x v="2"/>
    <x v="42"/>
    <x v="4"/>
    <n v="117.58"/>
    <x v="3"/>
    <x v="5"/>
    <s v="Amazon Prime"/>
    <n v="8.9"/>
    <n v="91530"/>
    <x v="4"/>
    <s v="Goa"/>
    <n v="1852"/>
    <s v="Netflix"/>
    <n v="6.46"/>
    <n v="4.8"/>
    <n v="40.53"/>
  </r>
  <r>
    <x v="50"/>
    <x v="11"/>
    <x v="11"/>
    <x v="5"/>
    <x v="13"/>
    <n v="484"/>
    <n v="160"/>
    <x v="13"/>
    <s v="Tamil (Dub)"/>
    <x v="0"/>
    <x v="31"/>
    <x v="4"/>
    <n v="374.51"/>
    <x v="1"/>
    <x v="6"/>
    <s v="SonyLIV"/>
    <n v="9"/>
    <n v="1420"/>
    <x v="0"/>
    <s v="Chennai"/>
    <n v="525"/>
    <s v="Hotstar"/>
    <n v="24.7"/>
    <n v="0.97"/>
    <n v="38.82"/>
  </r>
  <r>
    <x v="51"/>
    <x v="11"/>
    <x v="12"/>
    <x v="5"/>
    <x v="15"/>
    <n v="55"/>
    <n v="154"/>
    <x v="13"/>
    <s v="Hindi (Dub)"/>
    <x v="0"/>
    <x v="43"/>
    <x v="4"/>
    <n v="-77.37"/>
    <x v="3"/>
    <x v="0"/>
    <s v="Aha"/>
    <n v="7.9"/>
    <n v="13861"/>
    <x v="4"/>
    <s v="Kerala"/>
    <n v="1775"/>
    <s v="Netflix"/>
    <n v="23.8"/>
    <n v="1.87"/>
    <n v="20.46"/>
  </r>
  <r>
    <x v="52"/>
    <x v="5"/>
    <x v="7"/>
    <x v="5"/>
    <x v="14"/>
    <n v="78"/>
    <n v="160"/>
    <x v="10"/>
    <s v="Tamil (Dub)"/>
    <x v="1"/>
    <x v="44"/>
    <x v="0"/>
    <n v="52.94"/>
    <x v="0"/>
    <x v="9"/>
    <s v="SonyLIV"/>
    <n v="7.1"/>
    <n v="51380"/>
    <x v="2"/>
    <s v="Hyderabad"/>
    <n v="1147"/>
    <s v="SonyLIV"/>
    <n v="15.52"/>
    <n v="8.1999999999999993"/>
    <n v="38.28"/>
  </r>
  <r>
    <x v="53"/>
    <x v="4"/>
    <x v="10"/>
    <x v="5"/>
    <x v="27"/>
    <n v="342"/>
    <n v="175"/>
    <x v="16"/>
    <s v="Telugu"/>
    <x v="0"/>
    <x v="45"/>
    <x v="4"/>
    <n v="94.32"/>
    <x v="2"/>
    <x v="4"/>
    <s v="Hotstar"/>
    <n v="8.8000000000000007"/>
    <n v="85275"/>
    <x v="4"/>
    <s v="Chennai"/>
    <n v="558"/>
    <s v="ZEE5"/>
    <n v="28.65"/>
    <n v="4.03"/>
    <n v="36.17"/>
  </r>
  <r>
    <x v="54"/>
    <x v="5"/>
    <x v="15"/>
    <x v="7"/>
    <x v="8"/>
    <n v="165"/>
    <n v="173"/>
    <x v="14"/>
    <s v="Tamil (Dub)"/>
    <x v="0"/>
    <x v="46"/>
    <x v="4"/>
    <n v="-15.82"/>
    <x v="2"/>
    <x v="7"/>
    <s v="Aha"/>
    <n v="5.0999999999999996"/>
    <n v="35176"/>
    <x v="2"/>
    <s v="Hyderabad"/>
    <n v="1671"/>
    <s v="Hotstar"/>
    <n v="21.67"/>
    <n v="4.0599999999999996"/>
    <n v="16.16"/>
  </r>
  <r>
    <x v="55"/>
    <x v="15"/>
    <x v="10"/>
    <x v="7"/>
    <x v="28"/>
    <n v="33"/>
    <n v="120"/>
    <x v="13"/>
    <s v="Hindi (Dub)"/>
    <x v="0"/>
    <x v="47"/>
    <x v="3"/>
    <n v="-73.599999999999994"/>
    <x v="1"/>
    <x v="5"/>
    <s v="SonyLIV"/>
    <n v="8.6"/>
    <n v="94834"/>
    <x v="3"/>
    <s v="Kerala"/>
    <n v="2137"/>
    <s v="SonyLIV"/>
    <n v="16.45"/>
    <n v="7.18"/>
    <n v="32.46"/>
  </r>
  <r>
    <x v="56"/>
    <x v="13"/>
    <x v="4"/>
    <x v="0"/>
    <x v="12"/>
    <n v="80"/>
    <n v="145"/>
    <x v="19"/>
    <s v="Tamil (Dub)"/>
    <x v="2"/>
    <x v="32"/>
    <x v="4"/>
    <n v="77.78"/>
    <x v="1"/>
    <x v="0"/>
    <s v="Aha"/>
    <n v="9.1999999999999993"/>
    <n v="75155"/>
    <x v="4"/>
    <s v="Kerala"/>
    <n v="1144"/>
    <s v="Netflix"/>
    <n v="22.51"/>
    <n v="9"/>
    <n v="26.43"/>
  </r>
  <r>
    <x v="57"/>
    <x v="3"/>
    <x v="10"/>
    <x v="5"/>
    <x v="14"/>
    <n v="176"/>
    <n v="155"/>
    <x v="19"/>
    <s v="Pan-India"/>
    <x v="1"/>
    <x v="48"/>
    <x v="2"/>
    <n v="95.56"/>
    <x v="0"/>
    <x v="3"/>
    <s v="SonyLIV"/>
    <n v="6.4"/>
    <n v="79942"/>
    <x v="2"/>
    <s v="Kerala"/>
    <n v="1568"/>
    <s v="Amazon Prime"/>
    <n v="4.2"/>
    <n v="4.03"/>
    <n v="8.74"/>
  </r>
  <r>
    <x v="58"/>
    <x v="1"/>
    <x v="13"/>
    <x v="2"/>
    <x v="29"/>
    <n v="222"/>
    <n v="126"/>
    <x v="15"/>
    <s v="Telugu"/>
    <x v="2"/>
    <x v="49"/>
    <x v="3"/>
    <n v="20.65"/>
    <x v="1"/>
    <x v="9"/>
    <s v="Hotstar"/>
    <n v="5.5"/>
    <n v="18302"/>
    <x v="1"/>
    <s v="Vizag"/>
    <n v="2125"/>
    <s v="SonyLIV"/>
    <n v="26.38"/>
    <n v="9.1999999999999993"/>
    <n v="42.56"/>
  </r>
  <r>
    <x v="59"/>
    <x v="7"/>
    <x v="7"/>
    <x v="9"/>
    <x v="16"/>
    <n v="522"/>
    <n v="178"/>
    <x v="17"/>
    <s v="Tamil (Dub)"/>
    <x v="0"/>
    <x v="50"/>
    <x v="4"/>
    <n v="120.25"/>
    <x v="4"/>
    <x v="4"/>
    <s v="SonyLIV"/>
    <n v="5.4"/>
    <n v="36478"/>
    <x v="0"/>
    <s v="Kerala"/>
    <n v="1033"/>
    <s v="Amazon Prime"/>
    <n v="21.48"/>
    <n v="4.1399999999999997"/>
    <n v="14.89"/>
  </r>
  <r>
    <x v="60"/>
    <x v="2"/>
    <x v="10"/>
    <x v="1"/>
    <x v="23"/>
    <n v="526"/>
    <n v="180"/>
    <x v="13"/>
    <s v="Tamil (Dub)"/>
    <x v="0"/>
    <x v="51"/>
    <x v="2"/>
    <n v="146.94999999999999"/>
    <x v="4"/>
    <x v="1"/>
    <s v="Amazon Prime"/>
    <n v="5.6"/>
    <n v="86075"/>
    <x v="0"/>
    <s v="Chennai"/>
    <n v="898"/>
    <s v="SonyLIV"/>
    <n v="9.42"/>
    <n v="9.8800000000000008"/>
    <n v="16.82"/>
  </r>
  <r>
    <x v="61"/>
    <x v="12"/>
    <x v="4"/>
    <x v="2"/>
    <x v="16"/>
    <n v="481"/>
    <n v="123"/>
    <x v="17"/>
    <s v="Tamil (Dub)"/>
    <x v="0"/>
    <x v="52"/>
    <x v="4"/>
    <n v="550"/>
    <x v="2"/>
    <x v="1"/>
    <s v="Aha"/>
    <n v="7.5"/>
    <n v="30204"/>
    <x v="2"/>
    <s v="Hyderabad"/>
    <n v="1487"/>
    <s v="ZEE5"/>
    <n v="27.31"/>
    <n v="9.58"/>
    <n v="30.9"/>
  </r>
  <r>
    <x v="62"/>
    <x v="13"/>
    <x v="4"/>
    <x v="5"/>
    <x v="4"/>
    <n v="596"/>
    <n v="130"/>
    <x v="15"/>
    <s v="Hindi (Dub)"/>
    <x v="1"/>
    <x v="4"/>
    <x v="3"/>
    <n v="174.65"/>
    <x v="4"/>
    <x v="2"/>
    <s v="Amazon Prime"/>
    <n v="8.5"/>
    <n v="97856"/>
    <x v="3"/>
    <s v="Vizag"/>
    <n v="1803"/>
    <s v="ZEE5"/>
    <n v="14.59"/>
    <n v="9.85"/>
    <n v="39.47"/>
  </r>
  <r>
    <x v="63"/>
    <x v="2"/>
    <x v="10"/>
    <x v="9"/>
    <x v="27"/>
    <n v="408"/>
    <n v="159"/>
    <x v="15"/>
    <s v="Telugu"/>
    <x v="2"/>
    <x v="53"/>
    <x v="2"/>
    <n v="156.6"/>
    <x v="0"/>
    <x v="3"/>
    <s v="Zee5"/>
    <n v="7.4"/>
    <n v="36044"/>
    <x v="1"/>
    <s v="Hyderabad"/>
    <n v="1511"/>
    <s v="Amazon Prime"/>
    <n v="18.100000000000001"/>
    <n v="8.84"/>
    <n v="28.86"/>
  </r>
  <r>
    <x v="64"/>
    <x v="10"/>
    <x v="14"/>
    <x v="1"/>
    <x v="12"/>
    <n v="70"/>
    <n v="158"/>
    <x v="10"/>
    <s v="Pan-India"/>
    <x v="1"/>
    <x v="30"/>
    <x v="1"/>
    <n v="-15.66"/>
    <x v="3"/>
    <x v="7"/>
    <s v="Netflix"/>
    <n v="7.6"/>
    <n v="4108"/>
    <x v="3"/>
    <s v="Vizag"/>
    <n v="2451"/>
    <s v="Netflix"/>
    <n v="3.2"/>
    <n v="8.17"/>
    <n v="45.97"/>
  </r>
  <r>
    <x v="65"/>
    <x v="0"/>
    <x v="14"/>
    <x v="7"/>
    <x v="1"/>
    <n v="449"/>
    <n v="174"/>
    <x v="16"/>
    <s v="Hindi (Dub)"/>
    <x v="0"/>
    <x v="8"/>
    <x v="2"/>
    <n v="105.02"/>
    <x v="2"/>
    <x v="5"/>
    <s v="SonyLIV"/>
    <n v="6.3"/>
    <n v="83887"/>
    <x v="1"/>
    <s v="Chennai"/>
    <n v="620"/>
    <s v="SonyLIV"/>
    <n v="8.0500000000000007"/>
    <n v="4.63"/>
    <n v="16.010000000000002"/>
  </r>
  <r>
    <x v="66"/>
    <x v="13"/>
    <x v="13"/>
    <x v="0"/>
    <x v="16"/>
    <n v="591"/>
    <n v="141"/>
    <x v="13"/>
    <s v="Tamil (Dub)"/>
    <x v="2"/>
    <x v="54"/>
    <x v="1"/>
    <n v="167.42"/>
    <x v="1"/>
    <x v="4"/>
    <s v="Aha"/>
    <n v="9.4"/>
    <n v="29515"/>
    <x v="1"/>
    <s v="Hyderabad"/>
    <n v="1095"/>
    <s v="Netflix"/>
    <n v="7.5"/>
    <n v="6.68"/>
    <n v="49.87"/>
  </r>
  <r>
    <x v="67"/>
    <x v="4"/>
    <x v="16"/>
    <x v="5"/>
    <x v="22"/>
    <n v="115"/>
    <n v="172"/>
    <x v="19"/>
    <s v="Pan-India"/>
    <x v="1"/>
    <x v="55"/>
    <x v="2"/>
    <n v="-10.85"/>
    <x v="3"/>
    <x v="5"/>
    <s v="Aha"/>
    <n v="7.1"/>
    <n v="61504"/>
    <x v="3"/>
    <s v="Vizag"/>
    <n v="2077"/>
    <s v="Amazon Prime"/>
    <n v="14.89"/>
    <n v="3.45"/>
    <n v="49.96"/>
  </r>
  <r>
    <x v="68"/>
    <x v="1"/>
    <x v="14"/>
    <x v="5"/>
    <x v="7"/>
    <n v="489"/>
    <n v="128"/>
    <x v="18"/>
    <s v="Pan-India"/>
    <x v="0"/>
    <x v="27"/>
    <x v="1"/>
    <n v="374.76"/>
    <x v="0"/>
    <x v="0"/>
    <s v="Hotstar"/>
    <n v="6.8"/>
    <n v="74475"/>
    <x v="1"/>
    <s v="Hyderabad"/>
    <n v="325"/>
    <s v="Hotstar"/>
    <n v="10.1"/>
    <n v="8.33"/>
    <n v="42.09"/>
  </r>
  <r>
    <x v="69"/>
    <x v="13"/>
    <x v="4"/>
    <x v="4"/>
    <x v="23"/>
    <n v="344"/>
    <n v="130"/>
    <x v="16"/>
    <s v="Telugu"/>
    <x v="0"/>
    <x v="56"/>
    <x v="4"/>
    <n v="352.63"/>
    <x v="0"/>
    <x v="0"/>
    <s v="Hotstar"/>
    <n v="8.8000000000000007"/>
    <n v="94363"/>
    <x v="2"/>
    <s v="Kerala"/>
    <n v="915"/>
    <s v="ZEE5"/>
    <n v="4.83"/>
    <n v="5.41"/>
    <n v="21.75"/>
  </r>
  <r>
    <x v="70"/>
    <x v="13"/>
    <x v="17"/>
    <x v="5"/>
    <x v="22"/>
    <n v="347"/>
    <n v="168"/>
    <x v="16"/>
    <s v="Pan-India"/>
    <x v="2"/>
    <x v="57"/>
    <x v="4"/>
    <n v="459.68"/>
    <x v="2"/>
    <x v="9"/>
    <s v="Hotstar"/>
    <n v="8.6"/>
    <n v="54495"/>
    <x v="2"/>
    <s v="Kerala"/>
    <n v="1944"/>
    <s v="ZEE5"/>
    <n v="28.48"/>
    <n v="9.9700000000000006"/>
    <n v="2.88"/>
  </r>
  <r>
    <x v="71"/>
    <x v="7"/>
    <x v="15"/>
    <x v="2"/>
    <x v="7"/>
    <n v="316"/>
    <n v="131"/>
    <x v="18"/>
    <s v="Pan-India"/>
    <x v="2"/>
    <x v="58"/>
    <x v="4"/>
    <n v="232.63"/>
    <x v="1"/>
    <x v="5"/>
    <s v="SonyLIV"/>
    <n v="5.7"/>
    <n v="35884"/>
    <x v="3"/>
    <s v="Goa"/>
    <n v="2238"/>
    <s v="ZEE5"/>
    <n v="29.88"/>
    <n v="2.5"/>
    <n v="38.549999999999997"/>
  </r>
  <r>
    <x v="72"/>
    <x v="3"/>
    <x v="14"/>
    <x v="4"/>
    <x v="18"/>
    <n v="46"/>
    <n v="165"/>
    <x v="14"/>
    <s v="Tamil (Dub)"/>
    <x v="2"/>
    <x v="21"/>
    <x v="1"/>
    <n v="-78.099999999999994"/>
    <x v="1"/>
    <x v="7"/>
    <s v="Amazon Prime"/>
    <n v="7.5"/>
    <n v="49614"/>
    <x v="0"/>
    <s v="Chennai"/>
    <n v="623"/>
    <s v="Netflix"/>
    <n v="6.65"/>
    <n v="7.71"/>
    <n v="33.979999999999997"/>
  </r>
  <r>
    <x v="73"/>
    <x v="7"/>
    <x v="15"/>
    <x v="1"/>
    <x v="25"/>
    <n v="497"/>
    <n v="158"/>
    <x v="19"/>
    <s v="Tamil (Dub)"/>
    <x v="0"/>
    <x v="59"/>
    <x v="4"/>
    <n v="506.1"/>
    <x v="0"/>
    <x v="7"/>
    <s v="Hotstar"/>
    <n v="7.6"/>
    <n v="67739"/>
    <x v="0"/>
    <s v="Goa"/>
    <n v="800"/>
    <s v="Amazon Prime"/>
    <n v="19.39"/>
    <n v="7.99"/>
    <n v="14.2"/>
  </r>
  <r>
    <x v="20"/>
    <x v="16"/>
    <x v="10"/>
    <x v="4"/>
    <x v="30"/>
    <n v="460"/>
    <n v="172"/>
    <x v="13"/>
    <s v="Pan-India"/>
    <x v="0"/>
    <x v="60"/>
    <x v="2"/>
    <n v="175.45"/>
    <x v="2"/>
    <x v="2"/>
    <s v="Netflix"/>
    <n v="6.8"/>
    <n v="11891"/>
    <x v="4"/>
    <s v="Vizag"/>
    <n v="1311"/>
    <s v="Netflix"/>
    <n v="23.7"/>
    <n v="4.3"/>
    <n v="33.06"/>
  </r>
  <r>
    <x v="21"/>
    <x v="11"/>
    <x v="11"/>
    <x v="1"/>
    <x v="25"/>
    <n v="167"/>
    <n v="168"/>
    <x v="18"/>
    <s v="Pan-India"/>
    <x v="2"/>
    <x v="47"/>
    <x v="3"/>
    <n v="33.6"/>
    <x v="2"/>
    <x v="9"/>
    <s v="Zee5"/>
    <n v="9.1999999999999993"/>
    <n v="21228"/>
    <x v="2"/>
    <s v="Chennai"/>
    <n v="1381"/>
    <s v="Netflix"/>
    <n v="14.31"/>
    <n v="4.62"/>
    <n v="26.85"/>
  </r>
  <r>
    <x v="22"/>
    <x v="6"/>
    <x v="7"/>
    <x v="7"/>
    <x v="15"/>
    <n v="223"/>
    <n v="156"/>
    <x v="16"/>
    <s v="Tamil (Dub)"/>
    <x v="1"/>
    <x v="60"/>
    <x v="4"/>
    <n v="33.53"/>
    <x v="2"/>
    <x v="2"/>
    <s v="Zee5"/>
    <n v="5.7"/>
    <n v="95582"/>
    <x v="1"/>
    <s v="Goa"/>
    <n v="2419"/>
    <s v="Hotstar"/>
    <n v="12.43"/>
    <n v="2.25"/>
    <n v="21.38"/>
  </r>
  <r>
    <x v="23"/>
    <x v="12"/>
    <x v="13"/>
    <x v="4"/>
    <x v="14"/>
    <n v="70"/>
    <n v="134"/>
    <x v="17"/>
    <s v="Pan-India"/>
    <x v="0"/>
    <x v="5"/>
    <x v="1"/>
    <n v="-63.73"/>
    <x v="1"/>
    <x v="9"/>
    <s v="SonyLIV"/>
    <n v="7.9"/>
    <n v="64779"/>
    <x v="1"/>
    <s v="Kerala"/>
    <n v="752"/>
    <s v="Amazon Prime"/>
    <n v="4.5599999999999996"/>
    <n v="3.95"/>
    <n v="32.979999999999997"/>
  </r>
  <r>
    <x v="24"/>
    <x v="4"/>
    <x v="7"/>
    <x v="7"/>
    <x v="2"/>
    <n v="391"/>
    <n v="166"/>
    <x v="19"/>
    <s v="Hindi (Dub)"/>
    <x v="0"/>
    <x v="61"/>
    <x v="2"/>
    <n v="66.38"/>
    <x v="2"/>
    <x v="5"/>
    <s v="Zee5"/>
    <n v="5"/>
    <n v="97165"/>
    <x v="4"/>
    <s v="Goa"/>
    <n v="1746"/>
    <s v="Amazon Prime"/>
    <n v="10.37"/>
    <n v="2.95"/>
    <n v="6.86"/>
  </r>
  <r>
    <x v="25"/>
    <x v="5"/>
    <x v="4"/>
    <x v="0"/>
    <x v="3"/>
    <n v="438"/>
    <n v="122"/>
    <x v="17"/>
    <s v="Hindi (Dub)"/>
    <x v="2"/>
    <x v="62"/>
    <x v="4"/>
    <n v="128.12"/>
    <x v="3"/>
    <x v="7"/>
    <s v="Aha"/>
    <n v="7.3"/>
    <n v="99954"/>
    <x v="4"/>
    <s v="Hyderabad"/>
    <n v="2371"/>
    <s v="SonyLIV"/>
    <n v="28.86"/>
    <n v="4.16"/>
    <n v="12.3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88A946-8B9A-4692-B1EA-A7077EC4335D}" name="PivotTable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7" firstHeaderRow="1" firstDataRow="1" firstDataCol="1"/>
  <pivotFields count="25">
    <pivotField showAll="0"/>
    <pivotField showAll="0">
      <items count="18">
        <item x="8"/>
        <item x="9"/>
        <item x="15"/>
        <item x="13"/>
        <item x="6"/>
        <item x="10"/>
        <item x="11"/>
        <item x="5"/>
        <item x="16"/>
        <item x="0"/>
        <item x="7"/>
        <item x="4"/>
        <item x="3"/>
        <item x="1"/>
        <item x="2"/>
        <item x="14"/>
        <item x="12"/>
        <item t="default"/>
      </items>
    </pivotField>
    <pivotField showAll="0"/>
    <pivotField axis="axisRow" showAll="0" sortType="descending">
      <items count="11">
        <item h="1" x="9"/>
        <item x="3"/>
        <item x="8"/>
        <item x="4"/>
        <item x="6"/>
        <item x="5"/>
        <item x="2"/>
        <item x="1"/>
        <item x="7"/>
        <item x="0"/>
        <item t="default"/>
      </items>
    </pivotField>
    <pivotField showAll="0">
      <items count="32">
        <item h="1" x="5"/>
        <item h="1" x="19"/>
        <item h="1" x="21"/>
        <item h="1" x="23"/>
        <item h="1" x="24"/>
        <item h="1" x="11"/>
        <item h="1" x="27"/>
        <item h="1" x="4"/>
        <item h="1" x="15"/>
        <item h="1" x="26"/>
        <item h="1" x="16"/>
        <item h="1" x="17"/>
        <item h="1" x="29"/>
        <item h="1" x="12"/>
        <item h="1" x="20"/>
        <item h="1" x="30"/>
        <item h="1" x="28"/>
        <item h="1" x="7"/>
        <item x="13"/>
        <item h="1" x="3"/>
        <item h="1" x="14"/>
        <item h="1" x="9"/>
        <item h="1" x="1"/>
        <item h="1" x="10"/>
        <item h="1" x="8"/>
        <item h="1" x="2"/>
        <item h="1" x="0"/>
        <item h="1" x="18"/>
        <item h="1" x="6"/>
        <item h="1" x="22"/>
        <item h="1" x="25"/>
        <item t="default"/>
      </items>
    </pivotField>
    <pivotField showAll="0"/>
    <pivotField showAll="0"/>
    <pivotField showAll="0">
      <items count="21">
        <item x="10"/>
        <item x="16"/>
        <item x="18"/>
        <item x="5"/>
        <item x="17"/>
        <item x="9"/>
        <item x="8"/>
        <item x="15"/>
        <item x="14"/>
        <item x="3"/>
        <item x="0"/>
        <item x="7"/>
        <item x="19"/>
        <item x="11"/>
        <item x="4"/>
        <item x="1"/>
        <item x="12"/>
        <item x="2"/>
        <item x="6"/>
        <item x="13"/>
        <item t="default"/>
      </items>
    </pivotField>
    <pivotField showAll="0"/>
    <pivotField showAll="0">
      <items count="4">
        <item x="2"/>
        <item x="0"/>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3"/>
  </rowFields>
  <rowItems count="4">
    <i>
      <x v="2"/>
    </i>
    <i>
      <x v="4"/>
    </i>
    <i>
      <x v="5"/>
    </i>
    <i t="grand">
      <x/>
    </i>
  </rowItems>
  <colItems count="1">
    <i/>
  </colItems>
  <dataFields count="1">
    <dataField name="Sum of Awards Won" fld="14" baseField="0" baseItem="0"/>
  </dataFields>
  <chartFormats count="5">
    <chartFormat chart="1" format="1" series="1">
      <pivotArea type="data" outline="0" fieldPosition="0">
        <references count="1">
          <reference field="4294967294" count="1" selected="0">
            <x v="0"/>
          </reference>
        </references>
      </pivotArea>
    </chartFormat>
    <chartFormat chart="3" format="35" series="1">
      <pivotArea type="data" outline="0" fieldPosition="0">
        <references count="1">
          <reference field="4294967294" count="1" selected="0">
            <x v="0"/>
          </reference>
        </references>
      </pivotArea>
    </chartFormat>
    <chartFormat chart="3" format="36">
      <pivotArea type="data" outline="0" fieldPosition="0">
        <references count="2">
          <reference field="4294967294" count="1" selected="0">
            <x v="0"/>
          </reference>
          <reference field="3" count="1" selected="0">
            <x v="2"/>
          </reference>
        </references>
      </pivotArea>
    </chartFormat>
    <chartFormat chart="3" format="37">
      <pivotArea type="data" outline="0" fieldPosition="0">
        <references count="2">
          <reference field="4294967294" count="1" selected="0">
            <x v="0"/>
          </reference>
          <reference field="3" count="1" selected="0">
            <x v="4"/>
          </reference>
        </references>
      </pivotArea>
    </chartFormat>
    <chartFormat chart="3" format="38">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CBDCBF-F954-43E8-9866-19CDDE1F147C}" name="PivotTable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C14" firstHeaderRow="0" firstDataRow="1" firstDataCol="1"/>
  <pivotFields count="25">
    <pivotField showAll="0">
      <items count="75">
        <item x="51"/>
        <item x="46"/>
        <item x="30"/>
        <item x="34"/>
        <item x="3"/>
        <item x="8"/>
        <item x="70"/>
        <item x="71"/>
        <item x="43"/>
        <item x="0"/>
        <item x="65"/>
        <item x="66"/>
        <item x="12"/>
        <item x="20"/>
        <item x="57"/>
        <item x="42"/>
        <item x="21"/>
        <item x="11"/>
        <item x="10"/>
        <item x="61"/>
        <item x="36"/>
        <item x="14"/>
        <item x="44"/>
        <item x="13"/>
        <item x="29"/>
        <item x="33"/>
        <item x="19"/>
        <item x="56"/>
        <item x="28"/>
        <item x="47"/>
        <item x="6"/>
        <item x="40"/>
        <item x="27"/>
        <item x="45"/>
        <item x="54"/>
        <item x="53"/>
        <item x="52"/>
        <item x="64"/>
        <item x="24"/>
        <item x="16"/>
        <item x="7"/>
        <item x="26"/>
        <item x="55"/>
        <item x="35"/>
        <item x="49"/>
        <item x="38"/>
        <item x="72"/>
        <item x="69"/>
        <item x="62"/>
        <item x="32"/>
        <item x="68"/>
        <item x="59"/>
        <item x="73"/>
        <item x="1"/>
        <item x="18"/>
        <item x="48"/>
        <item x="2"/>
        <item x="60"/>
        <item x="5"/>
        <item x="67"/>
        <item x="4"/>
        <item x="25"/>
        <item x="63"/>
        <item x="9"/>
        <item x="17"/>
        <item x="15"/>
        <item x="41"/>
        <item x="37"/>
        <item x="22"/>
        <item x="31"/>
        <item x="23"/>
        <item x="39"/>
        <item x="58"/>
        <item x="50"/>
        <item t="default"/>
      </items>
    </pivotField>
    <pivotField showAll="0">
      <items count="18">
        <item x="8"/>
        <item x="9"/>
        <item x="15"/>
        <item x="13"/>
        <item x="6"/>
        <item x="10"/>
        <item x="11"/>
        <item x="5"/>
        <item x="16"/>
        <item x="0"/>
        <item x="7"/>
        <item x="4"/>
        <item x="3"/>
        <item x="1"/>
        <item x="2"/>
        <item x="14"/>
        <item x="12"/>
        <item t="default"/>
      </items>
    </pivotField>
    <pivotField showAll="0"/>
    <pivotField axis="axisRow" showAll="0">
      <items count="11">
        <item x="0"/>
        <item x="7"/>
        <item x="1"/>
        <item x="2"/>
        <item x="5"/>
        <item x="6"/>
        <item x="4"/>
        <item x="8"/>
        <item x="3"/>
        <item x="9"/>
        <item t="default"/>
      </items>
    </pivotField>
    <pivotField showAll="0"/>
    <pivotField dataField="1" showAll="0"/>
    <pivotField showAll="0"/>
    <pivotField showAll="0"/>
    <pivotField showAll="0"/>
    <pivotField showAll="0"/>
    <pivotField dataField="1" showAll="0">
      <items count="64">
        <item x="39"/>
        <item x="38"/>
        <item x="23"/>
        <item x="32"/>
        <item x="44"/>
        <item x="10"/>
        <item x="17"/>
        <item x="57"/>
        <item x="13"/>
        <item x="28"/>
        <item x="52"/>
        <item x="56"/>
        <item x="59"/>
        <item x="30"/>
        <item x="18"/>
        <item x="48"/>
        <item x="15"/>
        <item x="40"/>
        <item x="58"/>
        <item x="9"/>
        <item x="31"/>
        <item x="27"/>
        <item x="14"/>
        <item x="47"/>
        <item x="55"/>
        <item x="11"/>
        <item x="7"/>
        <item x="41"/>
        <item x="6"/>
        <item x="22"/>
        <item x="37"/>
        <item x="16"/>
        <item x="26"/>
        <item x="20"/>
        <item x="53"/>
        <item x="34"/>
        <item x="42"/>
        <item x="60"/>
        <item x="45"/>
        <item x="49"/>
        <item x="33"/>
        <item x="62"/>
        <item x="5"/>
        <item x="46"/>
        <item x="19"/>
        <item x="25"/>
        <item x="21"/>
        <item x="51"/>
        <item x="35"/>
        <item x="4"/>
        <item x="8"/>
        <item x="3"/>
        <item x="54"/>
        <item x="12"/>
        <item x="24"/>
        <item x="61"/>
        <item x="50"/>
        <item x="43"/>
        <item x="36"/>
        <item x="29"/>
        <item x="0"/>
        <item x="1"/>
        <item x="2"/>
        <item t="default"/>
      </items>
    </pivotField>
    <pivotField showAll="0"/>
    <pivotField showAll="0"/>
    <pivotField showAll="0"/>
    <pivotField showAll="0">
      <items count="12">
        <item x="2"/>
        <item x="5"/>
        <item x="0"/>
        <item x="8"/>
        <item x="4"/>
        <item x="9"/>
        <item x="1"/>
        <item x="3"/>
        <item x="10"/>
        <item x="7"/>
        <item x="6"/>
        <item t="default"/>
      </items>
    </pivotField>
    <pivotField showAll="0"/>
    <pivotField showAll="0"/>
    <pivotField showAll="0"/>
    <pivotField showAll="0"/>
    <pivotField showAll="0"/>
    <pivotField showAll="0"/>
    <pivotField showAll="0"/>
    <pivotField showAll="0"/>
    <pivotField showAll="0"/>
    <pivotField showAll="0"/>
  </pivotFields>
  <rowFields count="1">
    <field x="3"/>
  </rowFields>
  <rowItems count="11">
    <i>
      <x/>
    </i>
    <i>
      <x v="1"/>
    </i>
    <i>
      <x v="2"/>
    </i>
    <i>
      <x v="3"/>
    </i>
    <i>
      <x v="4"/>
    </i>
    <i>
      <x v="5"/>
    </i>
    <i>
      <x v="6"/>
    </i>
    <i>
      <x v="7"/>
    </i>
    <i>
      <x v="8"/>
    </i>
    <i>
      <x v="9"/>
    </i>
    <i t="grand">
      <x/>
    </i>
  </rowItems>
  <colFields count="1">
    <field x="-2"/>
  </colFields>
  <colItems count="2">
    <i>
      <x/>
    </i>
    <i i="1">
      <x v="1"/>
    </i>
  </colItems>
  <dataFields count="2">
    <dataField name="Sum of Budget (₹ Cr)" fld="10" baseField="0" baseItem="0"/>
    <dataField name="Sum of Box Office (₹ Cr)" fld="5" baseField="0" baseItem="0"/>
  </dataFields>
  <chartFormats count="4">
    <chartFormat chart="3" format="7"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1"/>
          </reference>
        </references>
      </pivotArea>
    </chartFormat>
    <chartFormat chart="0" format="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1D94D3-63A3-48FB-9538-DDB8763BAE85}" name="PivotTable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02FED6-B5CA-487E-AA01-83E26E608554}" name="PivotTable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25">
    <pivotField dataField="1" showAll="0">
      <items count="75">
        <item x="51"/>
        <item x="46"/>
        <item x="30"/>
        <item x="34"/>
        <item x="3"/>
        <item x="8"/>
        <item x="70"/>
        <item x="71"/>
        <item x="43"/>
        <item x="0"/>
        <item x="65"/>
        <item x="66"/>
        <item x="12"/>
        <item x="20"/>
        <item x="57"/>
        <item x="42"/>
        <item x="21"/>
        <item x="11"/>
        <item x="10"/>
        <item x="61"/>
        <item x="36"/>
        <item x="14"/>
        <item x="44"/>
        <item x="13"/>
        <item x="29"/>
        <item x="33"/>
        <item x="19"/>
        <item x="56"/>
        <item x="28"/>
        <item x="47"/>
        <item x="6"/>
        <item x="40"/>
        <item x="27"/>
        <item x="45"/>
        <item x="54"/>
        <item x="53"/>
        <item x="52"/>
        <item x="64"/>
        <item x="24"/>
        <item x="16"/>
        <item x="7"/>
        <item x="26"/>
        <item x="55"/>
        <item x="35"/>
        <item x="49"/>
        <item x="38"/>
        <item x="72"/>
        <item x="69"/>
        <item x="62"/>
        <item x="32"/>
        <item x="68"/>
        <item x="59"/>
        <item x="73"/>
        <item x="1"/>
        <item x="18"/>
        <item x="48"/>
        <item x="2"/>
        <item x="60"/>
        <item x="5"/>
        <item x="67"/>
        <item x="4"/>
        <item x="25"/>
        <item x="63"/>
        <item x="9"/>
        <item x="17"/>
        <item x="15"/>
        <item x="41"/>
        <item x="37"/>
        <item x="22"/>
        <item x="31"/>
        <item x="23"/>
        <item x="39"/>
        <item x="58"/>
        <item x="50"/>
        <item t="default"/>
      </items>
    </pivotField>
    <pivotField showAll="0"/>
    <pivotField showAll="0"/>
    <pivotField showAll="0"/>
    <pivotField showAll="0"/>
    <pivotField showAll="0"/>
    <pivotField showAll="0"/>
    <pivotField showAll="0"/>
    <pivotField showAll="0"/>
    <pivotField showAll="0"/>
    <pivotField showAll="0"/>
    <pivotField axis="axisRow" showAll="0">
      <items count="6">
        <item x="2"/>
        <item x="1"/>
        <item x="0"/>
        <item x="4"/>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6">
    <i>
      <x/>
    </i>
    <i>
      <x v="1"/>
    </i>
    <i>
      <x v="2"/>
    </i>
    <i>
      <x v="3"/>
    </i>
    <i>
      <x v="4"/>
    </i>
    <i t="grand">
      <x/>
    </i>
  </rowItems>
  <colItems count="1">
    <i/>
  </colItems>
  <dataFields count="1">
    <dataField name="Count of Movie Title" fld="0" subtotal="count" baseField="0" baseItem="0"/>
  </dataFields>
  <chartFormats count="19">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1" count="1" selected="0">
            <x v="0"/>
          </reference>
        </references>
      </pivotArea>
    </chartFormat>
    <chartFormat chart="2" format="9">
      <pivotArea type="data" outline="0" fieldPosition="0">
        <references count="2">
          <reference field="4294967294" count="1" selected="0">
            <x v="0"/>
          </reference>
          <reference field="11" count="1" selected="0">
            <x v="1"/>
          </reference>
        </references>
      </pivotArea>
    </chartFormat>
    <chartFormat chart="2" format="10">
      <pivotArea type="data" outline="0" fieldPosition="0">
        <references count="2">
          <reference field="4294967294" count="1" selected="0">
            <x v="0"/>
          </reference>
          <reference field="11" count="1" selected="0">
            <x v="2"/>
          </reference>
        </references>
      </pivotArea>
    </chartFormat>
    <chartFormat chart="2" format="11">
      <pivotArea type="data" outline="0" fieldPosition="0">
        <references count="2">
          <reference field="4294967294" count="1" selected="0">
            <x v="0"/>
          </reference>
          <reference field="11" count="1" selected="0">
            <x v="3"/>
          </reference>
        </references>
      </pivotArea>
    </chartFormat>
    <chartFormat chart="2" format="12">
      <pivotArea type="data" outline="0" fieldPosition="0">
        <references count="2">
          <reference field="4294967294" count="1" selected="0">
            <x v="0"/>
          </reference>
          <reference field="11" count="1" selected="0">
            <x v="4"/>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1" count="1" selected="0">
            <x v="0"/>
          </reference>
        </references>
      </pivotArea>
    </chartFormat>
    <chartFormat chart="4" format="9">
      <pivotArea type="data" outline="0" fieldPosition="0">
        <references count="2">
          <reference field="4294967294" count="1" selected="0">
            <x v="0"/>
          </reference>
          <reference field="11" count="1" selected="0">
            <x v="1"/>
          </reference>
        </references>
      </pivotArea>
    </chartFormat>
    <chartFormat chart="4" format="10">
      <pivotArea type="data" outline="0" fieldPosition="0">
        <references count="2">
          <reference field="4294967294" count="1" selected="0">
            <x v="0"/>
          </reference>
          <reference field="11" count="1" selected="0">
            <x v="2"/>
          </reference>
        </references>
      </pivotArea>
    </chartFormat>
    <chartFormat chart="4" format="11">
      <pivotArea type="data" outline="0" fieldPosition="0">
        <references count="2">
          <reference field="4294967294" count="1" selected="0">
            <x v="0"/>
          </reference>
          <reference field="11" count="1" selected="0">
            <x v="3"/>
          </reference>
        </references>
      </pivotArea>
    </chartFormat>
    <chartFormat chart="4" format="12">
      <pivotArea type="data" outline="0" fieldPosition="0">
        <references count="2">
          <reference field="4294967294" count="1" selected="0">
            <x v="0"/>
          </reference>
          <reference field="11" count="1" selected="0">
            <x v="4"/>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11" count="1" selected="0">
            <x v="0"/>
          </reference>
        </references>
      </pivotArea>
    </chartFormat>
    <chartFormat chart="7" format="9">
      <pivotArea type="data" outline="0" fieldPosition="0">
        <references count="2">
          <reference field="4294967294" count="1" selected="0">
            <x v="0"/>
          </reference>
          <reference field="11" count="1" selected="0">
            <x v="1"/>
          </reference>
        </references>
      </pivotArea>
    </chartFormat>
    <chartFormat chart="7" format="10">
      <pivotArea type="data" outline="0" fieldPosition="0">
        <references count="2">
          <reference field="4294967294" count="1" selected="0">
            <x v="0"/>
          </reference>
          <reference field="11" count="1" selected="0">
            <x v="2"/>
          </reference>
        </references>
      </pivotArea>
    </chartFormat>
    <chartFormat chart="7" format="11">
      <pivotArea type="data" outline="0" fieldPosition="0">
        <references count="2">
          <reference field="4294967294" count="1" selected="0">
            <x v="0"/>
          </reference>
          <reference field="11" count="1" selected="0">
            <x v="3"/>
          </reference>
        </references>
      </pivotArea>
    </chartFormat>
    <chartFormat chart="7" format="12">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6481408-76C7-4458-A881-26A8446846C7}" name="PivotTable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25">
    <pivotField axis="axisRow" showAll="0">
      <items count="75">
        <item x="51"/>
        <item x="46"/>
        <item x="30"/>
        <item x="34"/>
        <item x="3"/>
        <item x="8"/>
        <item x="70"/>
        <item x="71"/>
        <item x="43"/>
        <item x="0"/>
        <item x="65"/>
        <item x="66"/>
        <item x="12"/>
        <item x="20"/>
        <item x="57"/>
        <item x="42"/>
        <item x="21"/>
        <item x="11"/>
        <item x="10"/>
        <item x="61"/>
        <item x="36"/>
        <item x="14"/>
        <item x="44"/>
        <item x="13"/>
        <item x="29"/>
        <item x="33"/>
        <item x="19"/>
        <item x="56"/>
        <item x="28"/>
        <item x="47"/>
        <item x="6"/>
        <item x="40"/>
        <item x="27"/>
        <item x="45"/>
        <item x="54"/>
        <item x="53"/>
        <item x="52"/>
        <item x="64"/>
        <item x="24"/>
        <item x="16"/>
        <item x="7"/>
        <item x="26"/>
        <item x="55"/>
        <item x="35"/>
        <item x="49"/>
        <item x="38"/>
        <item x="72"/>
        <item x="69"/>
        <item x="62"/>
        <item x="32"/>
        <item x="68"/>
        <item x="59"/>
        <item x="73"/>
        <item x="1"/>
        <item x="18"/>
        <item x="48"/>
        <item x="2"/>
        <item x="60"/>
        <item x="5"/>
        <item x="67"/>
        <item x="4"/>
        <item x="25"/>
        <item x="63"/>
        <item x="9"/>
        <item x="17"/>
        <item x="15"/>
        <item x="41"/>
        <item x="37"/>
        <item x="22"/>
        <item x="31"/>
        <item x="23"/>
        <item x="39"/>
        <item x="58"/>
        <item x="5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sd="0" x="2"/>
        <item sd="0" x="3"/>
        <item sd="0" x="1"/>
        <item sd="0" x="0"/>
        <item sd="0" x="4"/>
        <item t="default" sd="0"/>
      </items>
    </pivotField>
    <pivotField showAll="0"/>
    <pivotField showAll="0"/>
    <pivotField dataField="1" showAll="0"/>
    <pivotField showAll="0"/>
    <pivotField showAll="0"/>
    <pivotField showAll="0"/>
    <pivotField showAll="0"/>
    <pivotField showAll="0"/>
    <pivotField showAll="0"/>
    <pivotField showAll="0"/>
    <pivotField showAll="0"/>
  </pivotFields>
  <rowFields count="2">
    <field x="13"/>
    <field x="0"/>
  </rowFields>
  <rowItems count="6">
    <i>
      <x/>
    </i>
    <i>
      <x v="1"/>
    </i>
    <i>
      <x v="2"/>
    </i>
    <i>
      <x v="3"/>
    </i>
    <i>
      <x v="4"/>
    </i>
    <i t="grand">
      <x/>
    </i>
  </rowItems>
  <colItems count="1">
    <i/>
  </colItems>
  <dataFields count="1">
    <dataField name="Sum of Critic Rating (/10)" fld="1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1893C30-E675-4BA2-B834-D2E6A2EAE65C}" name="PivotTable6"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14" firstHeaderRow="0" firstDataRow="1" firstDataCol="1"/>
  <pivotFields count="25">
    <pivotField showAll="0">
      <items count="75">
        <item x="51"/>
        <item x="46"/>
        <item x="30"/>
        <item x="34"/>
        <item x="3"/>
        <item x="8"/>
        <item x="70"/>
        <item x="71"/>
        <item x="43"/>
        <item x="0"/>
        <item x="65"/>
        <item x="66"/>
        <item x="12"/>
        <item x="20"/>
        <item x="57"/>
        <item x="42"/>
        <item x="21"/>
        <item x="11"/>
        <item x="10"/>
        <item x="61"/>
        <item x="36"/>
        <item x="14"/>
        <item x="44"/>
        <item x="13"/>
        <item x="29"/>
        <item x="33"/>
        <item x="19"/>
        <item x="56"/>
        <item x="28"/>
        <item x="47"/>
        <item x="6"/>
        <item x="40"/>
        <item x="27"/>
        <item x="45"/>
        <item x="54"/>
        <item x="53"/>
        <item x="52"/>
        <item x="64"/>
        <item x="24"/>
        <item x="16"/>
        <item x="7"/>
        <item x="26"/>
        <item x="55"/>
        <item x="35"/>
        <item x="49"/>
        <item x="38"/>
        <item x="72"/>
        <item x="69"/>
        <item x="62"/>
        <item x="32"/>
        <item x="68"/>
        <item x="59"/>
        <item x="73"/>
        <item x="1"/>
        <item x="18"/>
        <item x="48"/>
        <item x="2"/>
        <item x="60"/>
        <item x="5"/>
        <item x="67"/>
        <item x="4"/>
        <item x="25"/>
        <item x="63"/>
        <item x="9"/>
        <item x="17"/>
        <item x="15"/>
        <item x="41"/>
        <item x="37"/>
        <item x="22"/>
        <item x="31"/>
        <item x="23"/>
        <item x="39"/>
        <item x="58"/>
        <item x="50"/>
        <item t="default"/>
      </items>
    </pivotField>
    <pivotField showAll="0"/>
    <pivotField showAll="0"/>
    <pivotField axis="axisRow" showAll="0">
      <items count="11">
        <item x="0"/>
        <item x="7"/>
        <item x="1"/>
        <item x="2"/>
        <item x="5"/>
        <item x="6"/>
        <item x="4"/>
        <item x="8"/>
        <item x="3"/>
        <item x="9"/>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3"/>
  </rowFields>
  <rowItems count="11">
    <i>
      <x/>
    </i>
    <i>
      <x v="1"/>
    </i>
    <i>
      <x v="2"/>
    </i>
    <i>
      <x v="3"/>
    </i>
    <i>
      <x v="4"/>
    </i>
    <i>
      <x v="5"/>
    </i>
    <i>
      <x v="6"/>
    </i>
    <i>
      <x v="7"/>
    </i>
    <i>
      <x v="8"/>
    </i>
    <i>
      <x v="9"/>
    </i>
    <i t="grand">
      <x/>
    </i>
  </rowItems>
  <colFields count="1">
    <field x="-2"/>
  </colFields>
  <colItems count="2">
    <i>
      <x/>
    </i>
    <i i="1">
      <x v="1"/>
    </i>
  </colItems>
  <dataFields count="2">
    <dataField name="Sum of ROI (%)" fld="12" baseField="0" baseItem="0"/>
    <dataField name="Sum of No. of Screens" fld="20"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6454FA2-9287-4CC4-A5CF-5574EDD2317C}" name="PivotTable7"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25">
    <pivotField axis="axisRow" showAll="0">
      <items count="75">
        <item x="51"/>
        <item x="46"/>
        <item x="30"/>
        <item x="34"/>
        <item x="3"/>
        <item x="8"/>
        <item x="70"/>
        <item x="71"/>
        <item x="43"/>
        <item x="0"/>
        <item x="65"/>
        <item x="66"/>
        <item x="12"/>
        <item x="20"/>
        <item x="57"/>
        <item x="42"/>
        <item x="21"/>
        <item x="11"/>
        <item x="10"/>
        <item x="61"/>
        <item x="36"/>
        <item x="14"/>
        <item x="44"/>
        <item x="13"/>
        <item x="29"/>
        <item x="33"/>
        <item x="19"/>
        <item x="56"/>
        <item x="28"/>
        <item x="47"/>
        <item x="6"/>
        <item x="40"/>
        <item x="27"/>
        <item x="45"/>
        <item x="54"/>
        <item x="53"/>
        <item x="52"/>
        <item x="64"/>
        <item x="24"/>
        <item x="16"/>
        <item x="7"/>
        <item x="26"/>
        <item x="55"/>
        <item x="35"/>
        <item x="49"/>
        <item x="38"/>
        <item x="72"/>
        <item x="69"/>
        <item x="62"/>
        <item x="32"/>
        <item x="68"/>
        <item x="59"/>
        <item x="73"/>
        <item x="1"/>
        <item x="18"/>
        <item x="48"/>
        <item x="2"/>
        <item x="60"/>
        <item x="5"/>
        <item x="67"/>
        <item x="4"/>
        <item x="25"/>
        <item x="63"/>
        <item x="9"/>
        <item x="17"/>
        <item x="15"/>
        <item x="41"/>
        <item x="37"/>
        <item x="22"/>
        <item x="31"/>
        <item x="23"/>
        <item x="39"/>
        <item x="58"/>
        <item x="50"/>
        <item t="default"/>
      </items>
    </pivotField>
    <pivotField showAll="0"/>
    <pivotField showAll="0"/>
    <pivotField showAll="0"/>
    <pivotField dataField="1" showAll="0">
      <items count="32">
        <item x="5"/>
        <item x="19"/>
        <item x="21"/>
        <item x="23"/>
        <item x="24"/>
        <item x="11"/>
        <item x="27"/>
        <item x="4"/>
        <item x="15"/>
        <item x="26"/>
        <item x="16"/>
        <item x="17"/>
        <item x="29"/>
        <item x="12"/>
        <item x="20"/>
        <item x="30"/>
        <item x="28"/>
        <item x="7"/>
        <item x="13"/>
        <item x="3"/>
        <item x="14"/>
        <item x="9"/>
        <item x="1"/>
        <item x="10"/>
        <item x="8"/>
        <item x="2"/>
        <item x="0"/>
        <item x="18"/>
        <item x="6"/>
        <item x="22"/>
        <item x="2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sd="0" x="3"/>
        <item sd="0" x="2"/>
        <item sd="0" x="1"/>
        <item sd="0" x="4"/>
        <item sd="0" x="0"/>
        <item t="default"/>
      </items>
    </pivotField>
    <pivotField showAll="0"/>
    <pivotField showAll="0"/>
    <pivotField showAll="0"/>
    <pivotField showAll="0"/>
    <pivotField showAll="0"/>
    <pivotField showAll="0"/>
  </pivotFields>
  <rowFields count="2">
    <field x="18"/>
    <field x="0"/>
  </rowFields>
  <rowItems count="6">
    <i>
      <x/>
    </i>
    <i>
      <x v="1"/>
    </i>
    <i>
      <x v="2"/>
    </i>
    <i>
      <x v="3"/>
    </i>
    <i>
      <x v="4"/>
    </i>
    <i t="grand">
      <x/>
    </i>
  </rowItems>
  <colItems count="1">
    <i/>
  </colItems>
  <dataFields count="1">
    <dataField name="Sum of IMDB Rating" fld="4" baseField="0" baseItem="0"/>
  </dataFields>
  <chartFormats count="7">
    <chartFormat chart="4" format="0"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8" count="1" selected="0">
            <x v="0"/>
          </reference>
        </references>
      </pivotArea>
    </chartFormat>
    <chartFormat chart="6" format="9">
      <pivotArea type="data" outline="0" fieldPosition="0">
        <references count="2">
          <reference field="4294967294" count="1" selected="0">
            <x v="0"/>
          </reference>
          <reference field="18" count="1" selected="0">
            <x v="1"/>
          </reference>
        </references>
      </pivotArea>
    </chartFormat>
    <chartFormat chart="6" format="10">
      <pivotArea type="data" outline="0" fieldPosition="0">
        <references count="2">
          <reference field="4294967294" count="1" selected="0">
            <x v="0"/>
          </reference>
          <reference field="18" count="1" selected="0">
            <x v="2"/>
          </reference>
        </references>
      </pivotArea>
    </chartFormat>
    <chartFormat chart="6" format="11">
      <pivotArea type="data" outline="0" fieldPosition="0">
        <references count="2">
          <reference field="4294967294" count="1" selected="0">
            <x v="0"/>
          </reference>
          <reference field="18" count="1" selected="0">
            <x v="3"/>
          </reference>
        </references>
      </pivotArea>
    </chartFormat>
    <chartFormat chart="6" format="12">
      <pivotArea type="data" outline="0" fieldPosition="0">
        <references count="2">
          <reference field="4294967294" count="1" selected="0">
            <x v="0"/>
          </reference>
          <reference field="1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92D6E4C-A774-4891-B174-F5CEA79E21B4}" name="PivotTable8"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22" firstHeaderRow="0" firstDataRow="1" firstDataCol="1"/>
  <pivotFields count="25">
    <pivotField showAll="0"/>
    <pivotField showAll="0"/>
    <pivotField axis="axisRow" showAll="0">
      <items count="19">
        <item x="16"/>
        <item x="1"/>
        <item x="3"/>
        <item x="9"/>
        <item x="14"/>
        <item x="4"/>
        <item x="17"/>
        <item x="7"/>
        <item x="2"/>
        <item x="10"/>
        <item x="0"/>
        <item x="13"/>
        <item x="8"/>
        <item x="15"/>
        <item x="11"/>
        <item x="6"/>
        <item x="12"/>
        <item x="5"/>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2"/>
  </rowFields>
  <rowItems count="19">
    <i>
      <x/>
    </i>
    <i>
      <x v="1"/>
    </i>
    <i>
      <x v="2"/>
    </i>
    <i>
      <x v="3"/>
    </i>
    <i>
      <x v="4"/>
    </i>
    <i>
      <x v="5"/>
    </i>
    <i>
      <x v="6"/>
    </i>
    <i>
      <x v="7"/>
    </i>
    <i>
      <x v="8"/>
    </i>
    <i>
      <x v="9"/>
    </i>
    <i>
      <x v="10"/>
    </i>
    <i>
      <x v="11"/>
    </i>
    <i>
      <x v="12"/>
    </i>
    <i>
      <x v="13"/>
    </i>
    <i>
      <x v="14"/>
    </i>
    <i>
      <x v="15"/>
    </i>
    <i>
      <x v="16"/>
    </i>
    <i>
      <x v="17"/>
    </i>
    <i t="grand">
      <x/>
    </i>
  </rowItems>
  <colFields count="1">
    <field x="-2"/>
  </colFields>
  <colItems count="2">
    <i>
      <x/>
    </i>
    <i i="1">
      <x v="1"/>
    </i>
  </colItems>
  <dataFields count="2">
    <dataField name="Sum of Opening Day Collection (₹ Cr)" fld="24" baseField="0" baseItem="0"/>
    <dataField name="Sum of ROI (%)" fld="12" baseField="0" baseItem="0"/>
  </dataFields>
  <chartFormats count="8">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3774DA3-0AC4-411D-A723-3A30BF2BFC6B}" sourceName="Year">
  <pivotTables>
    <pivotTable tabId="3" name="PivotTable1"/>
  </pivotTables>
  <data>
    <tabular pivotCacheId="898453469">
      <items count="17">
        <i x="8" s="1"/>
        <i x="11" s="1"/>
        <i x="1" s="1"/>
        <i x="9" s="1" nd="1"/>
        <i x="15" s="1" nd="1"/>
        <i x="13" s="1" nd="1"/>
        <i x="6" s="1" nd="1"/>
        <i x="10" s="1" nd="1"/>
        <i x="5" s="1" nd="1"/>
        <i x="16" s="1" nd="1"/>
        <i x="0" s="1" nd="1"/>
        <i x="7" s="1" nd="1"/>
        <i x="4" s="1" nd="1"/>
        <i x="3" s="1" nd="1"/>
        <i x="2" s="1" nd="1"/>
        <i x="14" s="1" nd="1"/>
        <i x="1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MDB_Rating" xr10:uid="{05EBC660-2521-4923-9386-5DCCBA4A1513}" sourceName="IMDB Rating">
  <pivotTables>
    <pivotTable tabId="3" name="PivotTable1"/>
  </pivotTables>
  <data>
    <tabular pivotCacheId="898453469">
      <items count="31">
        <i x="5"/>
        <i x="19"/>
        <i x="21"/>
        <i x="23"/>
        <i x="24"/>
        <i x="11"/>
        <i x="27"/>
        <i x="4"/>
        <i x="15"/>
        <i x="26"/>
        <i x="16"/>
        <i x="17"/>
        <i x="29"/>
        <i x="12"/>
        <i x="20"/>
        <i x="30"/>
        <i x="28"/>
        <i x="7"/>
        <i x="13" s="1"/>
        <i x="3"/>
        <i x="14"/>
        <i x="9"/>
        <i x="1"/>
        <i x="10"/>
        <i x="8"/>
        <i x="2"/>
        <i x="0"/>
        <i x="18"/>
        <i x="6"/>
        <i x="22"/>
        <i x="25"/>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rector" xr10:uid="{F91D683B-58B3-4AA1-AB5D-7078B555CA4D}" sourceName="Director">
  <pivotTables>
    <pivotTable tabId="3" name="PivotTable1"/>
  </pivotTables>
  <data>
    <tabular pivotCacheId="898453469">
      <items count="20">
        <i x="10" s="1"/>
        <i x="0" s="1"/>
        <i x="13" s="1"/>
        <i x="16" s="1" nd="1"/>
        <i x="18" s="1" nd="1"/>
        <i x="5" s="1" nd="1"/>
        <i x="17" s="1" nd="1"/>
        <i x="9" s="1" nd="1"/>
        <i x="8" s="1" nd="1"/>
        <i x="15" s="1" nd="1"/>
        <i x="14" s="1" nd="1"/>
        <i x="3" s="1" nd="1"/>
        <i x="7" s="1" nd="1"/>
        <i x="19" s="1" nd="1"/>
        <i x="11" s="1" nd="1"/>
        <i x="4" s="1" nd="1"/>
        <i x="1" s="1" nd="1"/>
        <i x="12" s="1" nd="1"/>
        <i x="2" s="1" nd="1"/>
        <i x="6"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ease_Type" xr10:uid="{0AE3255A-75B3-4A76-AC81-37768F060CA8}" sourceName="Release Type">
  <pivotTables>
    <pivotTable tabId="3" name="PivotTable1"/>
  </pivotTables>
  <data>
    <tabular pivotCacheId="898453469">
      <items count="3">
        <i x="2" s="1"/>
        <i x="0" s="1"/>
        <i x="1"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EDD547F8-3865-413A-9886-CA3A03FA7C99}" sourceName="Genre">
  <pivotTables>
    <pivotTable tabId="4" name="PivotTable2"/>
  </pivotTables>
  <data>
    <tabular pivotCacheId="898453469">
      <items count="10">
        <i x="0" s="1"/>
        <i x="7" s="1"/>
        <i x="1" s="1"/>
        <i x="2" s="1"/>
        <i x="5" s="1"/>
        <i x="6" s="1"/>
        <i x="4" s="1"/>
        <i x="8" s="1"/>
        <i x="3" s="1"/>
        <i x="9"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wards_Won" xr10:uid="{75041D92-F06B-4FC1-B685-31D073155126}" sourceName="Awards Won">
  <pivotTables>
    <pivotTable tabId="4" name="PivotTable2"/>
  </pivotTables>
  <data>
    <tabular pivotCacheId="898453469">
      <items count="11">
        <i x="2" s="1"/>
        <i x="5" s="1"/>
        <i x="0" s="1"/>
        <i x="8" s="1"/>
        <i x="4" s="1"/>
        <i x="9" s="1"/>
        <i x="1" s="1"/>
        <i x="3" s="1"/>
        <i x="10" s="1"/>
        <i x="7"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FF4C9A84-8A9A-4774-9C3A-88B7E533D76A}" cache="Slicer_Year" caption="Year" columnCount="3" rowHeight="234950"/>
  <slicer name="IMDB Rating" xr10:uid="{5A579F8B-639A-463E-BD94-22A70AF27A65}" cache="Slicer_IMDB_Rating" caption="IMDB Rating" columnCount="8" rowHeight="234950"/>
  <slicer name="Director" xr10:uid="{914261E4-4A57-46DB-A5D7-72C156F7FE9E}" cache="Slicer_Director" caption="Director" columnCount="8" rowHeight="234950"/>
  <slicer name="Release Type" xr10:uid="{AAEDB92D-CC30-4C4D-BA45-F14028263D3B}" cache="Slicer_Release_Type" caption="Release 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xr10:uid="{7FC4EC3F-2360-40C9-BF38-69867CB4C1AF}" cache="Slicer_Genre" caption="Genre" rowHeight="234950"/>
  <slicer name="Genre 1" xr10:uid="{4C9D4134-A243-4FBD-89AB-1B43C241B63E}" cache="Slicer_Genre" caption="Genre" rowHeight="234950"/>
  <slicer name="Awards Won" xr10:uid="{1DDB1613-C9CC-4B6F-8433-073C4CD52129}" cache="Slicer_Awards_Won" caption="Awards Won" rowHeight="234950"/>
  <slicer name="Awards Won 1" xr10:uid="{887359FA-2D12-4D7F-9860-14DE5C01D255}" cache="Slicer_Awards_Won" caption="Awards Won"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541FA8BB-BF55-47AC-877C-472B67421411}" cache="Slicer_Year" caption="Year" columnCount="5" style="SlicerStyleOther1" rowHeight="234950"/>
  <slicer name="IMDB Rating 1" xr10:uid="{09CB627C-DE16-4B1B-8F31-68594B08E500}" cache="Slicer_IMDB_Rating" caption="IMDB Rating" columnCount="8" style="SlicerStyleOther1" rowHeight="234950"/>
  <slicer name="Release Type 1" xr10:uid="{47ACE884-BE17-4737-B7E3-E4C2599355FE}" cache="Slicer_Release_Type" caption="Release Type" style="SlicerStyleOther1"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60B0A-BF7F-44B8-9DF7-FEF28445A9E5}">
  <dimension ref="A3:B7"/>
  <sheetViews>
    <sheetView workbookViewId="0"/>
  </sheetViews>
  <sheetFormatPr defaultRowHeight="14.4" x14ac:dyDescent="0.3"/>
  <cols>
    <col min="1" max="1" width="12.5546875" bestFit="1" customWidth="1"/>
    <col min="2" max="2" width="18.33203125" bestFit="1" customWidth="1"/>
  </cols>
  <sheetData>
    <row r="3" spans="1:2" x14ac:dyDescent="0.3">
      <c r="A3" s="11" t="s">
        <v>175</v>
      </c>
      <c r="B3" t="s">
        <v>177</v>
      </c>
    </row>
    <row r="4" spans="1:2" x14ac:dyDescent="0.3">
      <c r="A4" s="12" t="s">
        <v>125</v>
      </c>
      <c r="B4" s="13">
        <v>9</v>
      </c>
    </row>
    <row r="5" spans="1:2" x14ac:dyDescent="0.3">
      <c r="A5" s="12" t="s">
        <v>123</v>
      </c>
      <c r="B5" s="13">
        <v>3</v>
      </c>
    </row>
    <row r="6" spans="1:2" x14ac:dyDescent="0.3">
      <c r="A6" s="12" t="s">
        <v>122</v>
      </c>
      <c r="B6" s="13">
        <v>10</v>
      </c>
    </row>
    <row r="7" spans="1:2" x14ac:dyDescent="0.3">
      <c r="A7" s="12" t="s">
        <v>176</v>
      </c>
      <c r="B7" s="13">
        <v>22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9540C-7885-46DC-8D95-323F2F66DC95}">
  <dimension ref="A3:C14"/>
  <sheetViews>
    <sheetView workbookViewId="0">
      <selection activeCell="A2" sqref="A2"/>
    </sheetView>
  </sheetViews>
  <sheetFormatPr defaultRowHeight="14.4" x14ac:dyDescent="0.3"/>
  <cols>
    <col min="1" max="1" width="12.5546875" bestFit="1" customWidth="1"/>
    <col min="2" max="2" width="18.6640625" bestFit="1" customWidth="1"/>
    <col min="3" max="3" width="21.33203125" bestFit="1" customWidth="1"/>
  </cols>
  <sheetData>
    <row r="3" spans="1:3" x14ac:dyDescent="0.3">
      <c r="A3" s="11" t="s">
        <v>175</v>
      </c>
      <c r="B3" t="s">
        <v>178</v>
      </c>
      <c r="C3" t="s">
        <v>179</v>
      </c>
    </row>
    <row r="4" spans="1:3" x14ac:dyDescent="0.3">
      <c r="A4" s="12" t="s">
        <v>117</v>
      </c>
      <c r="B4" s="13">
        <v>2449</v>
      </c>
      <c r="C4" s="13">
        <v>6007</v>
      </c>
    </row>
    <row r="5" spans="1:3" x14ac:dyDescent="0.3">
      <c r="A5" s="12" t="s">
        <v>124</v>
      </c>
      <c r="B5" s="13">
        <v>1483</v>
      </c>
      <c r="C5" s="13">
        <v>1589</v>
      </c>
    </row>
    <row r="6" spans="1:3" x14ac:dyDescent="0.3">
      <c r="A6" s="12" t="s">
        <v>118</v>
      </c>
      <c r="B6" s="13">
        <v>1626</v>
      </c>
      <c r="C6" s="13">
        <v>4331</v>
      </c>
    </row>
    <row r="7" spans="1:3" x14ac:dyDescent="0.3">
      <c r="A7" s="12" t="s">
        <v>119</v>
      </c>
      <c r="B7" s="13">
        <v>1368</v>
      </c>
      <c r="C7" s="13">
        <v>3249</v>
      </c>
    </row>
    <row r="8" spans="1:3" x14ac:dyDescent="0.3">
      <c r="A8" s="12" t="s">
        <v>122</v>
      </c>
      <c r="B8" s="13">
        <v>1954</v>
      </c>
      <c r="C8" s="13">
        <v>3387</v>
      </c>
    </row>
    <row r="9" spans="1:3" x14ac:dyDescent="0.3">
      <c r="A9" s="12" t="s">
        <v>123</v>
      </c>
      <c r="B9" s="13">
        <v>488</v>
      </c>
      <c r="C9" s="13">
        <v>1967</v>
      </c>
    </row>
    <row r="10" spans="1:3" x14ac:dyDescent="0.3">
      <c r="A10" s="12" t="s">
        <v>121</v>
      </c>
      <c r="B10" s="13">
        <v>1725</v>
      </c>
      <c r="C10" s="13">
        <v>2434</v>
      </c>
    </row>
    <row r="11" spans="1:3" x14ac:dyDescent="0.3">
      <c r="A11" s="12" t="s">
        <v>125</v>
      </c>
      <c r="B11" s="13">
        <v>67</v>
      </c>
      <c r="C11" s="13">
        <v>25</v>
      </c>
    </row>
    <row r="12" spans="1:3" x14ac:dyDescent="0.3">
      <c r="A12" s="12" t="s">
        <v>120</v>
      </c>
      <c r="B12" s="13">
        <v>217</v>
      </c>
      <c r="C12" s="13">
        <v>75</v>
      </c>
    </row>
    <row r="13" spans="1:3" x14ac:dyDescent="0.3">
      <c r="A13" s="12" t="s">
        <v>126</v>
      </c>
      <c r="B13" s="13">
        <v>865</v>
      </c>
      <c r="C13" s="13">
        <v>1823</v>
      </c>
    </row>
    <row r="14" spans="1:3" x14ac:dyDescent="0.3">
      <c r="A14" s="12" t="s">
        <v>176</v>
      </c>
      <c r="B14" s="13">
        <v>12242</v>
      </c>
      <c r="C14" s="13">
        <v>24887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EB9AE-CB1D-47B6-B6E9-53091EAB82BF}">
  <dimension ref="A3:C20"/>
  <sheetViews>
    <sheetView workbookViewId="0">
      <selection activeCell="A3" sqref="A3"/>
    </sheetView>
  </sheetViews>
  <sheetFormatPr defaultRowHeight="14.4" x14ac:dyDescent="0.3"/>
  <sheetData>
    <row r="3" spans="1:3" x14ac:dyDescent="0.3">
      <c r="A3" s="2"/>
      <c r="B3" s="3"/>
      <c r="C3" s="4"/>
    </row>
    <row r="4" spans="1:3" x14ac:dyDescent="0.3">
      <c r="A4" s="5"/>
      <c r="B4" s="6"/>
      <c r="C4" s="7"/>
    </row>
    <row r="5" spans="1:3" x14ac:dyDescent="0.3">
      <c r="A5" s="5"/>
      <c r="B5" s="6"/>
      <c r="C5" s="7"/>
    </row>
    <row r="6" spans="1:3" x14ac:dyDescent="0.3">
      <c r="A6" s="5"/>
      <c r="B6" s="6"/>
      <c r="C6" s="7"/>
    </row>
    <row r="7" spans="1:3" x14ac:dyDescent="0.3">
      <c r="A7" s="5"/>
      <c r="B7" s="6"/>
      <c r="C7" s="7"/>
    </row>
    <row r="8" spans="1:3" x14ac:dyDescent="0.3">
      <c r="A8" s="5"/>
      <c r="B8" s="6"/>
      <c r="C8" s="7"/>
    </row>
    <row r="9" spans="1:3" x14ac:dyDescent="0.3">
      <c r="A9" s="5"/>
      <c r="B9" s="6"/>
      <c r="C9" s="7"/>
    </row>
    <row r="10" spans="1:3" x14ac:dyDescent="0.3">
      <c r="A10" s="5"/>
      <c r="B10" s="6"/>
      <c r="C10" s="7"/>
    </row>
    <row r="11" spans="1:3" x14ac:dyDescent="0.3">
      <c r="A11" s="5"/>
      <c r="B11" s="6"/>
      <c r="C11" s="7"/>
    </row>
    <row r="12" spans="1:3" x14ac:dyDescent="0.3">
      <c r="A12" s="5"/>
      <c r="B12" s="6"/>
      <c r="C12" s="7"/>
    </row>
    <row r="13" spans="1:3" x14ac:dyDescent="0.3">
      <c r="A13" s="5"/>
      <c r="B13" s="6"/>
      <c r="C13" s="7"/>
    </row>
    <row r="14" spans="1:3" x14ac:dyDescent="0.3">
      <c r="A14" s="5"/>
      <c r="B14" s="6"/>
      <c r="C14" s="7"/>
    </row>
    <row r="15" spans="1:3" x14ac:dyDescent="0.3">
      <c r="A15" s="5"/>
      <c r="B15" s="6"/>
      <c r="C15" s="7"/>
    </row>
    <row r="16" spans="1:3" x14ac:dyDescent="0.3">
      <c r="A16" s="5"/>
      <c r="B16" s="6"/>
      <c r="C16" s="7"/>
    </row>
    <row r="17" spans="1:3" x14ac:dyDescent="0.3">
      <c r="A17" s="5"/>
      <c r="B17" s="6"/>
      <c r="C17" s="7"/>
    </row>
    <row r="18" spans="1:3" x14ac:dyDescent="0.3">
      <c r="A18" s="5"/>
      <c r="B18" s="6"/>
      <c r="C18" s="7"/>
    </row>
    <row r="19" spans="1:3" x14ac:dyDescent="0.3">
      <c r="A19" s="5"/>
      <c r="B19" s="6"/>
      <c r="C19" s="7"/>
    </row>
    <row r="20" spans="1:3" x14ac:dyDescent="0.3">
      <c r="A20" s="8"/>
      <c r="B20" s="9"/>
      <c r="C20" s="1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B1074-C600-40F5-A998-4C7494625F82}">
  <dimension ref="A3:B9"/>
  <sheetViews>
    <sheetView workbookViewId="0">
      <selection activeCell="A4" sqref="A4"/>
    </sheetView>
  </sheetViews>
  <sheetFormatPr defaultRowHeight="14.4" x14ac:dyDescent="0.3"/>
  <cols>
    <col min="1" max="1" width="12.5546875" bestFit="1" customWidth="1"/>
    <col min="2" max="2" width="18.33203125" bestFit="1" customWidth="1"/>
  </cols>
  <sheetData>
    <row r="3" spans="1:2" x14ac:dyDescent="0.3">
      <c r="A3" s="11" t="s">
        <v>175</v>
      </c>
      <c r="B3" t="s">
        <v>180</v>
      </c>
    </row>
    <row r="4" spans="1:2" x14ac:dyDescent="0.3">
      <c r="A4" s="12" t="s">
        <v>155</v>
      </c>
      <c r="B4" s="13">
        <v>14</v>
      </c>
    </row>
    <row r="5" spans="1:2" x14ac:dyDescent="0.3">
      <c r="A5" s="12" t="s">
        <v>154</v>
      </c>
      <c r="B5" s="13">
        <v>14</v>
      </c>
    </row>
    <row r="6" spans="1:2" x14ac:dyDescent="0.3">
      <c r="A6" s="12" t="s">
        <v>153</v>
      </c>
      <c r="B6" s="13">
        <v>10</v>
      </c>
    </row>
    <row r="7" spans="1:2" x14ac:dyDescent="0.3">
      <c r="A7" s="12" t="s">
        <v>157</v>
      </c>
      <c r="B7" s="13">
        <v>27</v>
      </c>
    </row>
    <row r="8" spans="1:2" x14ac:dyDescent="0.3">
      <c r="A8" s="12" t="s">
        <v>156</v>
      </c>
      <c r="B8" s="13">
        <v>15</v>
      </c>
    </row>
    <row r="9" spans="1:2" x14ac:dyDescent="0.3">
      <c r="A9" s="12" t="s">
        <v>176</v>
      </c>
      <c r="B9" s="13">
        <v>80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48666-697B-44BB-BF33-46A998B6E9E9}">
  <dimension ref="A3:B9"/>
  <sheetViews>
    <sheetView topLeftCell="A22" workbookViewId="0">
      <selection activeCell="A3" sqref="A3"/>
    </sheetView>
  </sheetViews>
  <sheetFormatPr defaultRowHeight="14.4" x14ac:dyDescent="0.3"/>
  <cols>
    <col min="1" max="1" width="26.109375" bestFit="1" customWidth="1"/>
    <col min="2" max="2" width="22.44140625" bestFit="1" customWidth="1"/>
  </cols>
  <sheetData>
    <row r="3" spans="1:2" x14ac:dyDescent="0.3">
      <c r="A3" s="11" t="s">
        <v>175</v>
      </c>
      <c r="B3" t="s">
        <v>181</v>
      </c>
    </row>
    <row r="4" spans="1:2" x14ac:dyDescent="0.3">
      <c r="A4" s="12" t="s">
        <v>160</v>
      </c>
      <c r="B4" s="13">
        <v>143.39999999999995</v>
      </c>
    </row>
    <row r="5" spans="1:2" x14ac:dyDescent="0.3">
      <c r="A5" s="12" t="s">
        <v>161</v>
      </c>
      <c r="B5" s="13">
        <v>96.600000000000009</v>
      </c>
    </row>
    <row r="6" spans="1:2" x14ac:dyDescent="0.3">
      <c r="A6" s="12" t="s">
        <v>159</v>
      </c>
      <c r="B6" s="13">
        <v>127.40000000000002</v>
      </c>
    </row>
    <row r="7" spans="1:2" x14ac:dyDescent="0.3">
      <c r="A7" s="12" t="s">
        <v>158</v>
      </c>
      <c r="B7" s="13">
        <v>130.30000000000001</v>
      </c>
    </row>
    <row r="8" spans="1:2" x14ac:dyDescent="0.3">
      <c r="A8" s="12" t="s">
        <v>162</v>
      </c>
      <c r="B8" s="13">
        <v>71</v>
      </c>
    </row>
    <row r="9" spans="1:2" x14ac:dyDescent="0.3">
      <c r="A9" s="12" t="s">
        <v>176</v>
      </c>
      <c r="B9" s="13">
        <v>568.70000000000005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A9B43-76AE-48D5-A5D0-1C855B0A7CA0}">
  <dimension ref="A3:C14"/>
  <sheetViews>
    <sheetView workbookViewId="0">
      <selection activeCell="A3" sqref="A3:C14"/>
    </sheetView>
  </sheetViews>
  <sheetFormatPr defaultRowHeight="14.4" x14ac:dyDescent="0.3"/>
  <cols>
    <col min="1" max="1" width="12.5546875" bestFit="1" customWidth="1"/>
    <col min="2" max="2" width="13.77734375" bestFit="1" customWidth="1"/>
    <col min="3" max="3" width="19.77734375" bestFit="1" customWidth="1"/>
  </cols>
  <sheetData>
    <row r="3" spans="1:3" x14ac:dyDescent="0.3">
      <c r="A3" s="11" t="s">
        <v>175</v>
      </c>
      <c r="B3" t="s">
        <v>182</v>
      </c>
      <c r="C3" t="s">
        <v>183</v>
      </c>
    </row>
    <row r="4" spans="1:3" x14ac:dyDescent="0.3">
      <c r="A4" s="12" t="s">
        <v>117</v>
      </c>
      <c r="B4" s="13">
        <v>9731.5800000000017</v>
      </c>
      <c r="C4" s="13">
        <v>20708</v>
      </c>
    </row>
    <row r="5" spans="1:3" x14ac:dyDescent="0.3">
      <c r="A5" s="12" t="s">
        <v>124</v>
      </c>
      <c r="B5" s="13">
        <v>5.230000000000004</v>
      </c>
      <c r="C5" s="13">
        <v>12573</v>
      </c>
    </row>
    <row r="6" spans="1:3" x14ac:dyDescent="0.3">
      <c r="A6" s="12" t="s">
        <v>118</v>
      </c>
      <c r="B6" s="13">
        <v>4761.1800000000012</v>
      </c>
      <c r="C6" s="13">
        <v>15413</v>
      </c>
    </row>
    <row r="7" spans="1:3" x14ac:dyDescent="0.3">
      <c r="A7" s="12" t="s">
        <v>119</v>
      </c>
      <c r="B7" s="13">
        <v>2650.3900000000003</v>
      </c>
      <c r="C7" s="13">
        <v>16309</v>
      </c>
    </row>
    <row r="8" spans="1:3" x14ac:dyDescent="0.3">
      <c r="A8" s="12" t="s">
        <v>122</v>
      </c>
      <c r="B8" s="13">
        <v>1550.01</v>
      </c>
      <c r="C8" s="13">
        <v>18737</v>
      </c>
    </row>
    <row r="9" spans="1:3" x14ac:dyDescent="0.3">
      <c r="A9" s="12" t="s">
        <v>123</v>
      </c>
      <c r="B9" s="13">
        <v>3096.2999999999997</v>
      </c>
      <c r="C9" s="13">
        <v>9122</v>
      </c>
    </row>
    <row r="10" spans="1:3" x14ac:dyDescent="0.3">
      <c r="A10" s="12" t="s">
        <v>121</v>
      </c>
      <c r="B10" s="13">
        <v>763.57999999999993</v>
      </c>
      <c r="C10" s="13">
        <v>12097</v>
      </c>
    </row>
    <row r="11" spans="1:3" x14ac:dyDescent="0.3">
      <c r="A11" s="12" t="s">
        <v>125</v>
      </c>
      <c r="B11" s="13">
        <v>-62.69</v>
      </c>
      <c r="C11" s="13">
        <v>2396</v>
      </c>
    </row>
    <row r="12" spans="1:3" x14ac:dyDescent="0.3">
      <c r="A12" s="12" t="s">
        <v>120</v>
      </c>
      <c r="B12" s="13">
        <v>-65.44</v>
      </c>
      <c r="C12" s="13">
        <v>2137</v>
      </c>
    </row>
    <row r="13" spans="1:3" x14ac:dyDescent="0.3">
      <c r="A13" s="12" t="s">
        <v>126</v>
      </c>
      <c r="B13" s="13">
        <v>532.43999999999994</v>
      </c>
      <c r="C13" s="13">
        <v>7886</v>
      </c>
    </row>
    <row r="14" spans="1:3" x14ac:dyDescent="0.3">
      <c r="A14" s="12" t="s">
        <v>176</v>
      </c>
      <c r="B14" s="13">
        <v>22962.579999999998</v>
      </c>
      <c r="C14" s="13">
        <v>117378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9D913-004B-4424-A552-71C2D6688CB8}">
  <dimension ref="A3:B9"/>
  <sheetViews>
    <sheetView workbookViewId="0">
      <selection activeCell="A8" sqref="A8"/>
    </sheetView>
  </sheetViews>
  <sheetFormatPr defaultRowHeight="14.4" x14ac:dyDescent="0.3"/>
  <cols>
    <col min="1" max="1" width="12.5546875" bestFit="1" customWidth="1"/>
    <col min="2" max="2" width="18.109375" bestFit="1" customWidth="1"/>
  </cols>
  <sheetData>
    <row r="3" spans="1:2" x14ac:dyDescent="0.3">
      <c r="A3" s="11" t="s">
        <v>175</v>
      </c>
      <c r="B3" t="s">
        <v>184</v>
      </c>
    </row>
    <row r="4" spans="1:2" x14ac:dyDescent="0.3">
      <c r="A4" s="12">
        <v>3</v>
      </c>
      <c r="B4" s="13">
        <v>99.3</v>
      </c>
    </row>
    <row r="5" spans="1:2" x14ac:dyDescent="0.3">
      <c r="A5" s="12">
        <v>4</v>
      </c>
      <c r="B5" s="13">
        <v>155.30000000000001</v>
      </c>
    </row>
    <row r="6" spans="1:2" x14ac:dyDescent="0.3">
      <c r="A6" s="12">
        <v>5</v>
      </c>
      <c r="B6" s="13">
        <v>109.5</v>
      </c>
    </row>
    <row r="7" spans="1:2" x14ac:dyDescent="0.3">
      <c r="A7" s="12">
        <v>6</v>
      </c>
      <c r="B7" s="13">
        <v>103.3</v>
      </c>
    </row>
    <row r="8" spans="1:2" x14ac:dyDescent="0.3">
      <c r="A8" s="12">
        <v>7</v>
      </c>
      <c r="B8" s="13">
        <v>94.7</v>
      </c>
    </row>
    <row r="9" spans="1:2" x14ac:dyDescent="0.3">
      <c r="A9" s="12" t="s">
        <v>176</v>
      </c>
      <c r="B9" s="13">
        <v>562.1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B93D0-D737-4A87-A95B-C7773CE0CD58}">
  <dimension ref="A3:C22"/>
  <sheetViews>
    <sheetView workbookViewId="0">
      <selection activeCell="A3" sqref="A3"/>
    </sheetView>
  </sheetViews>
  <sheetFormatPr defaultRowHeight="14.4" x14ac:dyDescent="0.3"/>
  <cols>
    <col min="1" max="1" width="21.6640625" bestFit="1" customWidth="1"/>
    <col min="2" max="2" width="32.5546875" bestFit="1" customWidth="1"/>
    <col min="3" max="3" width="13.77734375" bestFit="1" customWidth="1"/>
  </cols>
  <sheetData>
    <row r="3" spans="1:3" x14ac:dyDescent="0.3">
      <c r="A3" s="11" t="s">
        <v>175</v>
      </c>
      <c r="B3" t="s">
        <v>185</v>
      </c>
      <c r="C3" t="s">
        <v>182</v>
      </c>
    </row>
    <row r="4" spans="1:3" x14ac:dyDescent="0.3">
      <c r="A4" s="12" t="s">
        <v>115</v>
      </c>
      <c r="B4" s="13">
        <v>127.63999999999999</v>
      </c>
      <c r="C4" s="13">
        <v>1743.0700000000002</v>
      </c>
    </row>
    <row r="5" spans="1:3" x14ac:dyDescent="0.3">
      <c r="A5" s="12" t="s">
        <v>100</v>
      </c>
      <c r="B5" s="13">
        <v>79.680000000000007</v>
      </c>
      <c r="C5" s="13">
        <v>2093.17</v>
      </c>
    </row>
    <row r="6" spans="1:3" x14ac:dyDescent="0.3">
      <c r="A6" s="12" t="s">
        <v>102</v>
      </c>
      <c r="B6" s="13">
        <v>149.45000000000002</v>
      </c>
      <c r="C6" s="13">
        <v>610.29</v>
      </c>
    </row>
    <row r="7" spans="1:3" x14ac:dyDescent="0.3">
      <c r="A7" s="12" t="s">
        <v>108</v>
      </c>
      <c r="B7" s="13">
        <v>3.18</v>
      </c>
      <c r="C7" s="13">
        <v>-40.22</v>
      </c>
    </row>
    <row r="8" spans="1:3" x14ac:dyDescent="0.3">
      <c r="A8" s="12" t="s">
        <v>113</v>
      </c>
      <c r="B8" s="13">
        <v>281.16000000000003</v>
      </c>
      <c r="C8" s="13">
        <v>1504.1599999999999</v>
      </c>
    </row>
    <row r="9" spans="1:3" x14ac:dyDescent="0.3">
      <c r="A9" s="12" t="s">
        <v>103</v>
      </c>
      <c r="B9" s="13">
        <v>384.33000000000004</v>
      </c>
      <c r="C9" s="13">
        <v>1801.9499999999998</v>
      </c>
    </row>
    <row r="10" spans="1:3" x14ac:dyDescent="0.3">
      <c r="A10" s="12" t="s">
        <v>116</v>
      </c>
      <c r="B10" s="13">
        <v>2.88</v>
      </c>
      <c r="C10" s="13">
        <v>459.68</v>
      </c>
    </row>
    <row r="11" spans="1:3" x14ac:dyDescent="0.3">
      <c r="A11" s="12" t="s">
        <v>106</v>
      </c>
      <c r="B11" s="13">
        <v>144.68</v>
      </c>
      <c r="C11" s="13">
        <v>502.88</v>
      </c>
    </row>
    <row r="12" spans="1:3" x14ac:dyDescent="0.3">
      <c r="A12" s="12" t="s">
        <v>101</v>
      </c>
      <c r="B12" s="13">
        <v>2.73</v>
      </c>
      <c r="C12" s="13">
        <v>3136.84</v>
      </c>
    </row>
    <row r="13" spans="1:3" x14ac:dyDescent="0.3">
      <c r="A13" s="12" t="s">
        <v>109</v>
      </c>
      <c r="B13" s="13">
        <v>244.54000000000002</v>
      </c>
      <c r="C13" s="13">
        <v>1721.57</v>
      </c>
    </row>
    <row r="14" spans="1:3" x14ac:dyDescent="0.3">
      <c r="A14" s="12" t="s">
        <v>99</v>
      </c>
      <c r="B14" s="13">
        <v>43.81</v>
      </c>
      <c r="C14" s="13">
        <v>7213.2</v>
      </c>
    </row>
    <row r="15" spans="1:3" x14ac:dyDescent="0.3">
      <c r="A15" s="12" t="s">
        <v>112</v>
      </c>
      <c r="B15" s="13">
        <v>154.34</v>
      </c>
      <c r="C15" s="13">
        <v>358</v>
      </c>
    </row>
    <row r="16" spans="1:3" x14ac:dyDescent="0.3">
      <c r="A16" s="12" t="s">
        <v>107</v>
      </c>
      <c r="B16" s="13">
        <v>8.66</v>
      </c>
      <c r="C16" s="13">
        <v>27.12</v>
      </c>
    </row>
    <row r="17" spans="1:3" x14ac:dyDescent="0.3">
      <c r="A17" s="12" t="s">
        <v>114</v>
      </c>
      <c r="B17" s="13">
        <v>106.2</v>
      </c>
      <c r="C17" s="13">
        <v>905.83</v>
      </c>
    </row>
    <row r="18" spans="1:3" x14ac:dyDescent="0.3">
      <c r="A18" s="12" t="s">
        <v>110</v>
      </c>
      <c r="B18" s="13">
        <v>128.13</v>
      </c>
      <c r="C18" s="13">
        <v>525.15</v>
      </c>
    </row>
    <row r="19" spans="1:3" x14ac:dyDescent="0.3">
      <c r="A19" s="12" t="s">
        <v>105</v>
      </c>
      <c r="B19" s="13">
        <v>22.29</v>
      </c>
      <c r="C19" s="13">
        <v>-36.94</v>
      </c>
    </row>
    <row r="20" spans="1:3" x14ac:dyDescent="0.3">
      <c r="A20" s="12" t="s">
        <v>111</v>
      </c>
      <c r="B20" s="13">
        <v>126.9</v>
      </c>
      <c r="C20" s="13">
        <v>503.91999999999996</v>
      </c>
    </row>
    <row r="21" spans="1:3" x14ac:dyDescent="0.3">
      <c r="A21" s="12" t="s">
        <v>104</v>
      </c>
      <c r="B21" s="13">
        <v>16.239999999999998</v>
      </c>
      <c r="C21" s="13">
        <v>-67.09</v>
      </c>
    </row>
    <row r="22" spans="1:3" x14ac:dyDescent="0.3">
      <c r="A22" s="12" t="s">
        <v>176</v>
      </c>
      <c r="B22" s="13">
        <v>2026.8400000000004</v>
      </c>
      <c r="C22" s="13">
        <v>22962.58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81"/>
  <sheetViews>
    <sheetView workbookViewId="0">
      <selection activeCell="P13" sqref="A1:Y81"/>
    </sheetView>
  </sheetViews>
  <sheetFormatPr defaultRowHeight="14.4" x14ac:dyDescent="0.3"/>
  <cols>
    <col min="1" max="1" width="26.33203125" bestFit="1" customWidth="1"/>
    <col min="2" max="2" width="5" bestFit="1" customWidth="1"/>
    <col min="3" max="3" width="21.6640625" bestFit="1" customWidth="1"/>
    <col min="4" max="4" width="12" bestFit="1" customWidth="1"/>
    <col min="5" max="5" width="11.44140625" bestFit="1" customWidth="1"/>
    <col min="6" max="6" width="14.6640625" bestFit="1" customWidth="1"/>
    <col min="8" max="8" width="19" bestFit="1" customWidth="1"/>
    <col min="11" max="11" width="12" bestFit="1" customWidth="1"/>
    <col min="15" max="15" width="11.6640625" bestFit="1" customWidth="1"/>
    <col min="16" max="16" width="12.6640625" bestFit="1" customWidth="1"/>
    <col min="17" max="17" width="15.77734375" bestFit="1" customWidth="1"/>
    <col min="21" max="21" width="13.21875" bestFit="1" customWidth="1"/>
    <col min="23" max="23" width="18.44140625" bestFit="1" customWidth="1"/>
  </cols>
  <sheetData>
    <row r="1" spans="1:2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
      <c r="A2" t="s">
        <v>25</v>
      </c>
      <c r="B2">
        <v>2017</v>
      </c>
      <c r="C2" t="s">
        <v>99</v>
      </c>
      <c r="D2" t="s">
        <v>117</v>
      </c>
      <c r="E2">
        <v>8.1999999999999993</v>
      </c>
      <c r="F2">
        <v>1810</v>
      </c>
      <c r="G2">
        <v>171</v>
      </c>
      <c r="H2" t="s">
        <v>127</v>
      </c>
      <c r="I2" t="s">
        <v>147</v>
      </c>
      <c r="J2" t="s">
        <v>148</v>
      </c>
      <c r="K2">
        <v>250</v>
      </c>
      <c r="L2" t="s">
        <v>154</v>
      </c>
      <c r="M2">
        <v>7140</v>
      </c>
      <c r="N2" t="s">
        <v>158</v>
      </c>
      <c r="O2">
        <v>2</v>
      </c>
      <c r="P2" t="s">
        <v>163</v>
      </c>
      <c r="Q2">
        <v>9.3000000000000007</v>
      </c>
      <c r="R2">
        <v>81906</v>
      </c>
      <c r="S2">
        <v>7</v>
      </c>
      <c r="T2" t="s">
        <v>169</v>
      </c>
      <c r="U2">
        <v>2122</v>
      </c>
      <c r="V2" t="s">
        <v>167</v>
      </c>
      <c r="W2">
        <v>13.07</v>
      </c>
      <c r="X2">
        <v>5.32</v>
      </c>
      <c r="Y2">
        <v>2.93</v>
      </c>
    </row>
    <row r="3" spans="1:25" x14ac:dyDescent="0.3">
      <c r="A3" t="s">
        <v>26</v>
      </c>
      <c r="B3">
        <v>2021</v>
      </c>
      <c r="C3" t="s">
        <v>100</v>
      </c>
      <c r="D3" t="s">
        <v>117</v>
      </c>
      <c r="E3">
        <v>7.6</v>
      </c>
      <c r="F3">
        <v>360</v>
      </c>
      <c r="G3">
        <v>179</v>
      </c>
      <c r="H3" t="s">
        <v>128</v>
      </c>
      <c r="I3" t="s">
        <v>147</v>
      </c>
      <c r="J3" t="s">
        <v>152</v>
      </c>
      <c r="K3">
        <v>370</v>
      </c>
      <c r="L3" t="s">
        <v>154</v>
      </c>
      <c r="M3">
        <v>872.97</v>
      </c>
      <c r="N3" t="s">
        <v>158</v>
      </c>
      <c r="O3">
        <v>6</v>
      </c>
      <c r="P3" t="s">
        <v>164</v>
      </c>
      <c r="Q3">
        <v>5.5</v>
      </c>
      <c r="R3">
        <v>10514</v>
      </c>
      <c r="S3">
        <v>5</v>
      </c>
      <c r="T3" t="s">
        <v>170</v>
      </c>
      <c r="U3">
        <v>1536</v>
      </c>
      <c r="V3" t="s">
        <v>174</v>
      </c>
      <c r="W3">
        <v>13.53</v>
      </c>
      <c r="X3">
        <v>0.54</v>
      </c>
      <c r="Y3">
        <v>11.05</v>
      </c>
    </row>
    <row r="4" spans="1:25" x14ac:dyDescent="0.3">
      <c r="A4" t="s">
        <v>27</v>
      </c>
      <c r="B4">
        <v>2022</v>
      </c>
      <c r="C4" t="s">
        <v>101</v>
      </c>
      <c r="D4" t="s">
        <v>118</v>
      </c>
      <c r="E4">
        <v>8.1</v>
      </c>
      <c r="F4">
        <v>1230</v>
      </c>
      <c r="G4">
        <v>182</v>
      </c>
      <c r="H4" t="s">
        <v>127</v>
      </c>
      <c r="I4" t="s">
        <v>148</v>
      </c>
      <c r="J4" t="s">
        <v>148</v>
      </c>
      <c r="K4">
        <v>380</v>
      </c>
      <c r="L4" t="s">
        <v>155</v>
      </c>
      <c r="M4">
        <v>3136.84</v>
      </c>
      <c r="N4" t="s">
        <v>159</v>
      </c>
      <c r="O4">
        <v>6</v>
      </c>
      <c r="P4" t="s">
        <v>163</v>
      </c>
      <c r="Q4">
        <v>8.8000000000000007</v>
      </c>
      <c r="R4">
        <v>2373</v>
      </c>
      <c r="S4">
        <v>4</v>
      </c>
      <c r="T4" t="s">
        <v>169</v>
      </c>
      <c r="U4">
        <v>1743</v>
      </c>
      <c r="V4" t="s">
        <v>168</v>
      </c>
      <c r="W4">
        <v>25.22</v>
      </c>
      <c r="X4">
        <v>7.1</v>
      </c>
      <c r="Y4">
        <v>2.73</v>
      </c>
    </row>
    <row r="5" spans="1:25" x14ac:dyDescent="0.3">
      <c r="A5" t="s">
        <v>28</v>
      </c>
      <c r="B5">
        <v>2020</v>
      </c>
      <c r="C5" t="s">
        <v>100</v>
      </c>
      <c r="D5" t="s">
        <v>119</v>
      </c>
      <c r="E5">
        <v>7.3</v>
      </c>
      <c r="F5">
        <v>280</v>
      </c>
      <c r="G5">
        <v>165</v>
      </c>
      <c r="H5" t="s">
        <v>129</v>
      </c>
      <c r="I5" t="s">
        <v>149</v>
      </c>
      <c r="J5" t="s">
        <v>152</v>
      </c>
      <c r="K5">
        <v>220</v>
      </c>
      <c r="L5" t="s">
        <v>153</v>
      </c>
      <c r="M5">
        <v>1172.73</v>
      </c>
      <c r="N5" t="s">
        <v>159</v>
      </c>
      <c r="O5">
        <v>6</v>
      </c>
      <c r="P5" t="s">
        <v>165</v>
      </c>
      <c r="Q5">
        <v>5.5</v>
      </c>
      <c r="R5">
        <v>91938</v>
      </c>
      <c r="S5">
        <v>4</v>
      </c>
      <c r="T5" t="s">
        <v>171</v>
      </c>
      <c r="U5">
        <v>1806</v>
      </c>
      <c r="V5" t="s">
        <v>168</v>
      </c>
      <c r="W5">
        <v>29.22</v>
      </c>
      <c r="X5">
        <v>1.0900000000000001</v>
      </c>
      <c r="Y5">
        <v>42.54</v>
      </c>
    </row>
    <row r="6" spans="1:25" x14ac:dyDescent="0.3">
      <c r="A6" t="s">
        <v>29</v>
      </c>
      <c r="B6">
        <v>2022</v>
      </c>
      <c r="C6" t="s">
        <v>102</v>
      </c>
      <c r="D6" t="s">
        <v>117</v>
      </c>
      <c r="E6">
        <v>5.9</v>
      </c>
      <c r="F6">
        <v>200</v>
      </c>
      <c r="G6">
        <v>162</v>
      </c>
      <c r="H6" t="s">
        <v>130</v>
      </c>
      <c r="I6" t="s">
        <v>149</v>
      </c>
      <c r="J6" t="s">
        <v>152</v>
      </c>
      <c r="K6">
        <v>217</v>
      </c>
      <c r="L6" t="s">
        <v>153</v>
      </c>
      <c r="M6">
        <v>-7.83</v>
      </c>
      <c r="N6" t="s">
        <v>158</v>
      </c>
      <c r="O6">
        <v>0</v>
      </c>
      <c r="P6" t="s">
        <v>163</v>
      </c>
      <c r="Q6">
        <v>5.3</v>
      </c>
      <c r="R6">
        <v>63456</v>
      </c>
      <c r="S6">
        <v>4</v>
      </c>
      <c r="T6" t="s">
        <v>170</v>
      </c>
      <c r="U6">
        <v>2280</v>
      </c>
      <c r="V6" t="s">
        <v>168</v>
      </c>
      <c r="W6">
        <v>23.19</v>
      </c>
      <c r="X6">
        <v>3.95</v>
      </c>
      <c r="Y6">
        <v>35</v>
      </c>
    </row>
    <row r="7" spans="1:25" x14ac:dyDescent="0.3">
      <c r="A7" t="s">
        <v>30</v>
      </c>
      <c r="B7">
        <v>2019</v>
      </c>
      <c r="C7" t="s">
        <v>99</v>
      </c>
      <c r="D7" t="s">
        <v>117</v>
      </c>
      <c r="E7">
        <v>5</v>
      </c>
      <c r="F7">
        <v>433</v>
      </c>
      <c r="G7">
        <v>170</v>
      </c>
      <c r="H7" t="s">
        <v>131</v>
      </c>
      <c r="I7" t="s">
        <v>147</v>
      </c>
      <c r="J7" t="s">
        <v>148</v>
      </c>
      <c r="K7">
        <v>250</v>
      </c>
      <c r="L7" t="s">
        <v>156</v>
      </c>
      <c r="M7">
        <v>73.2</v>
      </c>
      <c r="N7" t="s">
        <v>158</v>
      </c>
      <c r="O7">
        <v>7</v>
      </c>
      <c r="P7" t="s">
        <v>163</v>
      </c>
      <c r="Q7">
        <v>7</v>
      </c>
      <c r="R7">
        <v>36003</v>
      </c>
      <c r="S7">
        <v>5</v>
      </c>
      <c r="T7" t="s">
        <v>169</v>
      </c>
      <c r="U7">
        <v>302</v>
      </c>
      <c r="V7" t="s">
        <v>165</v>
      </c>
      <c r="W7">
        <v>10.02</v>
      </c>
      <c r="X7">
        <v>2.14</v>
      </c>
      <c r="Y7">
        <v>40.880000000000003</v>
      </c>
    </row>
    <row r="8" spans="1:25" x14ac:dyDescent="0.3">
      <c r="A8" t="s">
        <v>31</v>
      </c>
      <c r="B8">
        <v>2019</v>
      </c>
      <c r="C8" t="s">
        <v>103</v>
      </c>
      <c r="D8" t="s">
        <v>120</v>
      </c>
      <c r="E8">
        <v>8.5</v>
      </c>
      <c r="F8">
        <v>75</v>
      </c>
      <c r="G8">
        <v>157</v>
      </c>
      <c r="H8" t="s">
        <v>132</v>
      </c>
      <c r="I8" t="s">
        <v>150</v>
      </c>
      <c r="J8" t="s">
        <v>151</v>
      </c>
      <c r="K8">
        <v>217</v>
      </c>
      <c r="L8" t="s">
        <v>156</v>
      </c>
      <c r="M8">
        <v>-65.44</v>
      </c>
      <c r="N8" t="s">
        <v>160</v>
      </c>
      <c r="O8">
        <v>4</v>
      </c>
      <c r="P8" t="s">
        <v>166</v>
      </c>
      <c r="Q8">
        <v>8</v>
      </c>
      <c r="R8">
        <v>68897</v>
      </c>
      <c r="S8">
        <v>4</v>
      </c>
      <c r="T8" t="s">
        <v>169</v>
      </c>
      <c r="U8">
        <v>2137</v>
      </c>
      <c r="V8" t="s">
        <v>174</v>
      </c>
      <c r="W8">
        <v>27.68</v>
      </c>
      <c r="X8">
        <v>2</v>
      </c>
      <c r="Y8">
        <v>20.21</v>
      </c>
    </row>
    <row r="9" spans="1:25" x14ac:dyDescent="0.3">
      <c r="A9" t="s">
        <v>32</v>
      </c>
      <c r="B9">
        <v>2019</v>
      </c>
      <c r="C9" t="s">
        <v>102</v>
      </c>
      <c r="D9" t="s">
        <v>117</v>
      </c>
      <c r="E9">
        <v>7.1</v>
      </c>
      <c r="F9">
        <v>175</v>
      </c>
      <c r="G9">
        <v>176</v>
      </c>
      <c r="H9" t="s">
        <v>133</v>
      </c>
      <c r="I9" t="s">
        <v>150</v>
      </c>
      <c r="J9" t="s">
        <v>151</v>
      </c>
      <c r="K9">
        <v>193</v>
      </c>
      <c r="L9" t="s">
        <v>154</v>
      </c>
      <c r="M9">
        <v>-9.33</v>
      </c>
      <c r="N9" t="s">
        <v>159</v>
      </c>
      <c r="O9">
        <v>1</v>
      </c>
      <c r="P9" t="s">
        <v>167</v>
      </c>
      <c r="Q9">
        <v>5.4</v>
      </c>
      <c r="R9">
        <v>70201</v>
      </c>
      <c r="S9">
        <v>3</v>
      </c>
      <c r="T9" t="s">
        <v>172</v>
      </c>
      <c r="U9">
        <v>904</v>
      </c>
      <c r="V9" t="s">
        <v>165</v>
      </c>
      <c r="W9">
        <v>25.84</v>
      </c>
      <c r="X9">
        <v>1.32</v>
      </c>
      <c r="Y9">
        <v>47.53</v>
      </c>
    </row>
    <row r="10" spans="1:25" x14ac:dyDescent="0.3">
      <c r="A10" t="s">
        <v>33</v>
      </c>
      <c r="B10">
        <v>2017</v>
      </c>
      <c r="C10" t="s">
        <v>104</v>
      </c>
      <c r="D10" t="s">
        <v>121</v>
      </c>
      <c r="E10">
        <v>8</v>
      </c>
      <c r="F10">
        <v>50</v>
      </c>
      <c r="G10">
        <v>186</v>
      </c>
      <c r="H10" t="s">
        <v>134</v>
      </c>
      <c r="I10" t="s">
        <v>148</v>
      </c>
      <c r="J10" t="s">
        <v>151</v>
      </c>
      <c r="K10">
        <v>136</v>
      </c>
      <c r="L10" t="s">
        <v>156</v>
      </c>
      <c r="M10">
        <v>-63.24</v>
      </c>
      <c r="N10" t="s">
        <v>160</v>
      </c>
      <c r="O10">
        <v>7</v>
      </c>
      <c r="P10" t="s">
        <v>164</v>
      </c>
      <c r="Q10">
        <v>8.4</v>
      </c>
      <c r="R10">
        <v>41805</v>
      </c>
      <c r="S10">
        <v>5</v>
      </c>
      <c r="T10" t="s">
        <v>172</v>
      </c>
      <c r="U10">
        <v>721</v>
      </c>
      <c r="V10" t="s">
        <v>165</v>
      </c>
      <c r="W10">
        <v>21.69</v>
      </c>
      <c r="X10">
        <v>6.58</v>
      </c>
      <c r="Y10">
        <v>2.81</v>
      </c>
    </row>
    <row r="11" spans="1:25" x14ac:dyDescent="0.3">
      <c r="A11" t="s">
        <v>34</v>
      </c>
      <c r="B11">
        <v>2015</v>
      </c>
      <c r="C11" t="s">
        <v>102</v>
      </c>
      <c r="D11" t="s">
        <v>118</v>
      </c>
      <c r="E11">
        <v>7.5</v>
      </c>
      <c r="F11">
        <v>200</v>
      </c>
      <c r="G11">
        <v>158</v>
      </c>
      <c r="H11" t="s">
        <v>135</v>
      </c>
      <c r="I11" t="s">
        <v>147</v>
      </c>
      <c r="J11" t="s">
        <v>151</v>
      </c>
      <c r="K11">
        <v>132</v>
      </c>
      <c r="L11" t="s">
        <v>157</v>
      </c>
      <c r="M11">
        <v>51.52</v>
      </c>
      <c r="N11" t="s">
        <v>161</v>
      </c>
      <c r="O11">
        <v>1</v>
      </c>
      <c r="P11" t="s">
        <v>168</v>
      </c>
      <c r="Q11">
        <v>5.7</v>
      </c>
      <c r="R11">
        <v>67877</v>
      </c>
      <c r="S11">
        <v>7</v>
      </c>
      <c r="T11" t="s">
        <v>172</v>
      </c>
      <c r="U11">
        <v>2138</v>
      </c>
      <c r="V11" t="s">
        <v>174</v>
      </c>
      <c r="W11">
        <v>29.72</v>
      </c>
      <c r="X11">
        <v>3.49</v>
      </c>
      <c r="Y11">
        <v>46.56</v>
      </c>
    </row>
    <row r="12" spans="1:25" x14ac:dyDescent="0.3">
      <c r="A12" t="s">
        <v>35</v>
      </c>
      <c r="B12">
        <v>2012</v>
      </c>
      <c r="C12" t="s">
        <v>103</v>
      </c>
      <c r="D12" t="s">
        <v>122</v>
      </c>
      <c r="E12">
        <v>7.7</v>
      </c>
      <c r="F12">
        <v>130</v>
      </c>
      <c r="G12">
        <v>145</v>
      </c>
      <c r="H12" t="s">
        <v>127</v>
      </c>
      <c r="I12" t="s">
        <v>149</v>
      </c>
      <c r="J12" t="s">
        <v>151</v>
      </c>
      <c r="K12">
        <v>219</v>
      </c>
      <c r="L12" t="s">
        <v>155</v>
      </c>
      <c r="M12">
        <v>-40.64</v>
      </c>
      <c r="N12" t="s">
        <v>160</v>
      </c>
      <c r="O12">
        <v>7</v>
      </c>
      <c r="P12" t="s">
        <v>166</v>
      </c>
      <c r="Q12">
        <v>5.0999999999999996</v>
      </c>
      <c r="R12">
        <v>47487</v>
      </c>
      <c r="S12">
        <v>7</v>
      </c>
      <c r="T12" t="s">
        <v>171</v>
      </c>
      <c r="U12">
        <v>1829</v>
      </c>
      <c r="V12" t="s">
        <v>165</v>
      </c>
      <c r="W12">
        <v>13.87</v>
      </c>
      <c r="X12">
        <v>3.16</v>
      </c>
      <c r="Y12">
        <v>35.270000000000003</v>
      </c>
    </row>
    <row r="13" spans="1:25" x14ac:dyDescent="0.3">
      <c r="A13" t="s">
        <v>36</v>
      </c>
      <c r="B13">
        <v>2017</v>
      </c>
      <c r="C13" t="s">
        <v>100</v>
      </c>
      <c r="D13" t="s">
        <v>117</v>
      </c>
      <c r="E13">
        <v>5.6</v>
      </c>
      <c r="F13">
        <v>150</v>
      </c>
      <c r="G13">
        <v>160</v>
      </c>
      <c r="H13" t="s">
        <v>136</v>
      </c>
      <c r="I13" t="s">
        <v>149</v>
      </c>
      <c r="J13" t="s">
        <v>148</v>
      </c>
      <c r="K13">
        <v>98</v>
      </c>
      <c r="L13" t="s">
        <v>153</v>
      </c>
      <c r="M13">
        <v>53.06</v>
      </c>
      <c r="N13" t="s">
        <v>161</v>
      </c>
      <c r="O13">
        <v>4</v>
      </c>
      <c r="P13" t="s">
        <v>163</v>
      </c>
      <c r="Q13">
        <v>6.8</v>
      </c>
      <c r="R13">
        <v>27278</v>
      </c>
      <c r="S13">
        <v>4</v>
      </c>
      <c r="T13" t="s">
        <v>169</v>
      </c>
      <c r="U13">
        <v>2052</v>
      </c>
      <c r="V13" t="s">
        <v>174</v>
      </c>
      <c r="W13">
        <v>18.55</v>
      </c>
      <c r="X13">
        <v>0.98</v>
      </c>
      <c r="Y13">
        <v>7.83</v>
      </c>
    </row>
    <row r="14" spans="1:25" x14ac:dyDescent="0.3">
      <c r="A14" t="s">
        <v>37</v>
      </c>
      <c r="B14">
        <v>2018</v>
      </c>
      <c r="C14" t="s">
        <v>102</v>
      </c>
      <c r="D14" t="s">
        <v>123</v>
      </c>
      <c r="E14">
        <v>7.7</v>
      </c>
      <c r="F14">
        <v>230</v>
      </c>
      <c r="G14">
        <v>173</v>
      </c>
      <c r="H14" t="s">
        <v>135</v>
      </c>
      <c r="I14" t="s">
        <v>147</v>
      </c>
      <c r="J14" t="s">
        <v>152</v>
      </c>
      <c r="K14">
        <v>54</v>
      </c>
      <c r="L14" t="s">
        <v>157</v>
      </c>
      <c r="M14">
        <v>325.93</v>
      </c>
      <c r="N14" t="s">
        <v>161</v>
      </c>
      <c r="O14">
        <v>10</v>
      </c>
      <c r="P14" t="s">
        <v>168</v>
      </c>
      <c r="Q14">
        <v>5.9</v>
      </c>
      <c r="R14">
        <v>57800</v>
      </c>
      <c r="S14">
        <v>3</v>
      </c>
      <c r="T14" t="s">
        <v>172</v>
      </c>
      <c r="U14">
        <v>722</v>
      </c>
      <c r="V14" t="s">
        <v>168</v>
      </c>
      <c r="W14">
        <v>16.32</v>
      </c>
      <c r="X14">
        <v>4.57</v>
      </c>
      <c r="Y14">
        <v>15.21</v>
      </c>
    </row>
    <row r="15" spans="1:25" x14ac:dyDescent="0.3">
      <c r="A15" t="s">
        <v>38</v>
      </c>
      <c r="B15">
        <v>2018</v>
      </c>
      <c r="C15" t="s">
        <v>104</v>
      </c>
      <c r="D15" t="s">
        <v>121</v>
      </c>
      <c r="E15">
        <v>7.7</v>
      </c>
      <c r="F15">
        <v>125</v>
      </c>
      <c r="G15">
        <v>142</v>
      </c>
      <c r="H15" t="s">
        <v>130</v>
      </c>
      <c r="I15" t="s">
        <v>148</v>
      </c>
      <c r="J15" t="s">
        <v>148</v>
      </c>
      <c r="K15">
        <v>130</v>
      </c>
      <c r="L15" t="s">
        <v>155</v>
      </c>
      <c r="M15">
        <v>-3.85</v>
      </c>
      <c r="N15" t="s">
        <v>160</v>
      </c>
      <c r="O15">
        <v>7</v>
      </c>
      <c r="P15" t="s">
        <v>167</v>
      </c>
      <c r="Q15">
        <v>5.7</v>
      </c>
      <c r="R15">
        <v>70418</v>
      </c>
      <c r="S15">
        <v>3</v>
      </c>
      <c r="T15" t="s">
        <v>173</v>
      </c>
      <c r="U15">
        <v>900</v>
      </c>
      <c r="V15" t="s">
        <v>165</v>
      </c>
      <c r="W15">
        <v>25.09</v>
      </c>
      <c r="X15">
        <v>5.94</v>
      </c>
      <c r="Y15">
        <v>13.43</v>
      </c>
    </row>
    <row r="16" spans="1:25" x14ac:dyDescent="0.3">
      <c r="A16" t="s">
        <v>39</v>
      </c>
      <c r="B16">
        <v>2019</v>
      </c>
      <c r="C16" t="s">
        <v>105</v>
      </c>
      <c r="D16" t="s">
        <v>124</v>
      </c>
      <c r="E16">
        <v>6.6</v>
      </c>
      <c r="F16">
        <v>140</v>
      </c>
      <c r="G16">
        <v>148</v>
      </c>
      <c r="H16" t="s">
        <v>137</v>
      </c>
      <c r="I16" t="s">
        <v>147</v>
      </c>
      <c r="J16" t="s">
        <v>151</v>
      </c>
      <c r="K16">
        <v>222</v>
      </c>
      <c r="L16" t="s">
        <v>153</v>
      </c>
      <c r="M16">
        <v>-36.94</v>
      </c>
      <c r="N16" t="s">
        <v>159</v>
      </c>
      <c r="O16">
        <v>0</v>
      </c>
      <c r="P16" t="s">
        <v>167</v>
      </c>
      <c r="Q16">
        <v>5.5</v>
      </c>
      <c r="R16">
        <v>16682</v>
      </c>
      <c r="S16">
        <v>3</v>
      </c>
      <c r="T16" t="s">
        <v>172</v>
      </c>
      <c r="U16">
        <v>1642</v>
      </c>
      <c r="V16" t="s">
        <v>167</v>
      </c>
      <c r="W16">
        <v>10.28</v>
      </c>
      <c r="X16">
        <v>2.0699999999999998</v>
      </c>
      <c r="Y16">
        <v>22.29</v>
      </c>
    </row>
    <row r="17" spans="1:25" x14ac:dyDescent="0.3">
      <c r="A17" t="s">
        <v>40</v>
      </c>
      <c r="B17">
        <v>2004</v>
      </c>
      <c r="C17" t="s">
        <v>106</v>
      </c>
      <c r="D17" t="s">
        <v>125</v>
      </c>
      <c r="E17">
        <v>7.2</v>
      </c>
      <c r="F17">
        <v>25</v>
      </c>
      <c r="G17">
        <v>155</v>
      </c>
      <c r="H17" t="s">
        <v>127</v>
      </c>
      <c r="I17" t="s">
        <v>149</v>
      </c>
      <c r="J17" t="s">
        <v>148</v>
      </c>
      <c r="K17">
        <v>67</v>
      </c>
      <c r="L17" t="s">
        <v>154</v>
      </c>
      <c r="M17">
        <v>-62.69</v>
      </c>
      <c r="N17" t="s">
        <v>160</v>
      </c>
      <c r="O17">
        <v>9</v>
      </c>
      <c r="P17" t="s">
        <v>163</v>
      </c>
      <c r="Q17">
        <v>5.5</v>
      </c>
      <c r="R17">
        <v>18416</v>
      </c>
      <c r="S17">
        <v>3</v>
      </c>
      <c r="T17" t="s">
        <v>172</v>
      </c>
      <c r="U17">
        <v>2396</v>
      </c>
      <c r="V17" t="s">
        <v>163</v>
      </c>
      <c r="W17">
        <v>27.71</v>
      </c>
      <c r="X17">
        <v>1.96</v>
      </c>
      <c r="Y17">
        <v>37.159999999999997</v>
      </c>
    </row>
    <row r="18" spans="1:25" x14ac:dyDescent="0.3">
      <c r="A18" t="s">
        <v>41</v>
      </c>
      <c r="B18">
        <v>2009</v>
      </c>
      <c r="C18" t="s">
        <v>107</v>
      </c>
      <c r="D18" t="s">
        <v>122</v>
      </c>
      <c r="E18">
        <v>7.7</v>
      </c>
      <c r="F18">
        <v>150</v>
      </c>
      <c r="G18">
        <v>166</v>
      </c>
      <c r="H18" t="s">
        <v>127</v>
      </c>
      <c r="I18" t="s">
        <v>148</v>
      </c>
      <c r="J18" t="s">
        <v>151</v>
      </c>
      <c r="K18">
        <v>118</v>
      </c>
      <c r="L18" t="s">
        <v>156</v>
      </c>
      <c r="M18">
        <v>27.12</v>
      </c>
      <c r="N18" t="s">
        <v>158</v>
      </c>
      <c r="O18">
        <v>0</v>
      </c>
      <c r="P18" t="s">
        <v>168</v>
      </c>
      <c r="Q18">
        <v>7.9</v>
      </c>
      <c r="R18">
        <v>60318</v>
      </c>
      <c r="S18">
        <v>3</v>
      </c>
      <c r="T18" t="s">
        <v>171</v>
      </c>
      <c r="U18">
        <v>1757</v>
      </c>
      <c r="V18" t="s">
        <v>174</v>
      </c>
      <c r="W18">
        <v>2.99</v>
      </c>
      <c r="X18">
        <v>8.3699999999999992</v>
      </c>
      <c r="Y18">
        <v>8.66</v>
      </c>
    </row>
    <row r="19" spans="1:25" x14ac:dyDescent="0.3">
      <c r="A19" t="s">
        <v>42</v>
      </c>
      <c r="B19">
        <v>2013</v>
      </c>
      <c r="C19" t="s">
        <v>108</v>
      </c>
      <c r="D19" t="s">
        <v>119</v>
      </c>
      <c r="E19">
        <v>7.3</v>
      </c>
      <c r="F19">
        <v>55</v>
      </c>
      <c r="G19">
        <v>160</v>
      </c>
      <c r="H19" t="s">
        <v>138</v>
      </c>
      <c r="I19" t="s">
        <v>150</v>
      </c>
      <c r="J19" t="s">
        <v>148</v>
      </c>
      <c r="K19">
        <v>92</v>
      </c>
      <c r="L19" t="s">
        <v>157</v>
      </c>
      <c r="M19">
        <v>-40.22</v>
      </c>
      <c r="N19" t="s">
        <v>160</v>
      </c>
      <c r="O19">
        <v>10</v>
      </c>
      <c r="P19" t="s">
        <v>163</v>
      </c>
      <c r="Q19">
        <v>9.3000000000000007</v>
      </c>
      <c r="R19">
        <v>31421</v>
      </c>
      <c r="S19">
        <v>4</v>
      </c>
      <c r="T19" t="s">
        <v>173</v>
      </c>
      <c r="U19">
        <v>2500</v>
      </c>
      <c r="V19" t="s">
        <v>165</v>
      </c>
      <c r="W19">
        <v>18.71</v>
      </c>
      <c r="X19">
        <v>0.98</v>
      </c>
      <c r="Y19">
        <v>3.18</v>
      </c>
    </row>
    <row r="20" spans="1:25" x14ac:dyDescent="0.3">
      <c r="A20" t="s">
        <v>43</v>
      </c>
      <c r="B20">
        <v>2014</v>
      </c>
      <c r="C20" t="s">
        <v>100</v>
      </c>
      <c r="D20" t="s">
        <v>117</v>
      </c>
      <c r="E20">
        <v>7.4</v>
      </c>
      <c r="F20">
        <v>135</v>
      </c>
      <c r="G20">
        <v>160</v>
      </c>
      <c r="H20" t="s">
        <v>139</v>
      </c>
      <c r="I20" t="s">
        <v>149</v>
      </c>
      <c r="J20" t="s">
        <v>151</v>
      </c>
      <c r="K20">
        <v>143</v>
      </c>
      <c r="L20" t="s">
        <v>157</v>
      </c>
      <c r="M20">
        <v>-5.59</v>
      </c>
      <c r="N20" t="s">
        <v>160</v>
      </c>
      <c r="O20">
        <v>2</v>
      </c>
      <c r="P20" t="s">
        <v>163</v>
      </c>
      <c r="Q20">
        <v>5.6</v>
      </c>
      <c r="R20">
        <v>20950</v>
      </c>
      <c r="S20">
        <v>3</v>
      </c>
      <c r="T20" t="s">
        <v>169</v>
      </c>
      <c r="U20">
        <v>840</v>
      </c>
      <c r="V20" t="s">
        <v>165</v>
      </c>
      <c r="W20">
        <v>14.05</v>
      </c>
      <c r="X20">
        <v>3.93</v>
      </c>
      <c r="Y20">
        <v>18.260000000000002</v>
      </c>
    </row>
    <row r="21" spans="1:25" x14ac:dyDescent="0.3">
      <c r="A21" t="s">
        <v>44</v>
      </c>
      <c r="B21">
        <v>2024</v>
      </c>
      <c r="C21" t="s">
        <v>102</v>
      </c>
      <c r="D21" t="s">
        <v>117</v>
      </c>
      <c r="E21">
        <v>6.1</v>
      </c>
      <c r="F21">
        <v>210</v>
      </c>
      <c r="G21">
        <v>170</v>
      </c>
      <c r="H21" t="s">
        <v>129</v>
      </c>
      <c r="I21" t="s">
        <v>149</v>
      </c>
      <c r="J21" t="s">
        <v>152</v>
      </c>
      <c r="K21">
        <v>60</v>
      </c>
      <c r="L21" t="s">
        <v>157</v>
      </c>
      <c r="M21">
        <v>250</v>
      </c>
      <c r="N21" t="s">
        <v>159</v>
      </c>
      <c r="O21">
        <v>3</v>
      </c>
      <c r="P21" t="s">
        <v>167</v>
      </c>
      <c r="Q21">
        <v>9.1</v>
      </c>
      <c r="R21">
        <v>76142</v>
      </c>
      <c r="S21">
        <v>5</v>
      </c>
      <c r="T21" t="s">
        <v>171</v>
      </c>
      <c r="U21">
        <v>1498</v>
      </c>
      <c r="V21" t="s">
        <v>167</v>
      </c>
      <c r="W21">
        <v>21.08</v>
      </c>
      <c r="X21">
        <v>5.77</v>
      </c>
      <c r="Y21">
        <v>5.15</v>
      </c>
    </row>
    <row r="22" spans="1:25" x14ac:dyDescent="0.3">
      <c r="A22" t="s">
        <v>45</v>
      </c>
      <c r="B22">
        <v>2011</v>
      </c>
      <c r="C22" t="s">
        <v>106</v>
      </c>
      <c r="D22" t="s">
        <v>117</v>
      </c>
      <c r="E22">
        <v>6.3</v>
      </c>
      <c r="F22">
        <v>574</v>
      </c>
      <c r="G22">
        <v>149</v>
      </c>
      <c r="H22" t="s">
        <v>140</v>
      </c>
      <c r="I22" t="s">
        <v>148</v>
      </c>
      <c r="J22" t="s">
        <v>151</v>
      </c>
      <c r="K22">
        <v>130</v>
      </c>
      <c r="L22" t="s">
        <v>156</v>
      </c>
      <c r="M22">
        <v>341.54</v>
      </c>
      <c r="N22" t="s">
        <v>162</v>
      </c>
      <c r="O22">
        <v>3</v>
      </c>
      <c r="P22" t="s">
        <v>166</v>
      </c>
      <c r="Q22">
        <v>5.9</v>
      </c>
      <c r="R22">
        <v>88807</v>
      </c>
      <c r="S22">
        <v>6</v>
      </c>
      <c r="T22" t="s">
        <v>173</v>
      </c>
      <c r="U22">
        <v>1087</v>
      </c>
      <c r="V22" t="s">
        <v>167</v>
      </c>
      <c r="W22">
        <v>4.5599999999999996</v>
      </c>
      <c r="X22">
        <v>0.52</v>
      </c>
      <c r="Y22">
        <v>18.100000000000001</v>
      </c>
    </row>
    <row r="23" spans="1:25" x14ac:dyDescent="0.3">
      <c r="A23" t="s">
        <v>46</v>
      </c>
      <c r="B23">
        <v>2015</v>
      </c>
      <c r="C23" t="s">
        <v>109</v>
      </c>
      <c r="D23" t="s">
        <v>123</v>
      </c>
      <c r="E23">
        <v>6.4</v>
      </c>
      <c r="F23">
        <v>373</v>
      </c>
      <c r="G23">
        <v>180</v>
      </c>
      <c r="H23" t="s">
        <v>137</v>
      </c>
      <c r="I23" t="s">
        <v>149</v>
      </c>
      <c r="J23" t="s">
        <v>148</v>
      </c>
      <c r="K23">
        <v>84</v>
      </c>
      <c r="L23" t="s">
        <v>157</v>
      </c>
      <c r="M23">
        <v>344.05</v>
      </c>
      <c r="N23" t="s">
        <v>159</v>
      </c>
      <c r="O23">
        <v>10</v>
      </c>
      <c r="P23" t="s">
        <v>164</v>
      </c>
      <c r="Q23">
        <v>7.8</v>
      </c>
      <c r="R23">
        <v>81488</v>
      </c>
      <c r="S23">
        <v>6</v>
      </c>
      <c r="T23" t="s">
        <v>172</v>
      </c>
      <c r="U23">
        <v>2188</v>
      </c>
      <c r="V23" t="s">
        <v>174</v>
      </c>
      <c r="W23">
        <v>11.82</v>
      </c>
      <c r="X23">
        <v>6.33</v>
      </c>
      <c r="Y23">
        <v>15.07</v>
      </c>
    </row>
    <row r="24" spans="1:25" x14ac:dyDescent="0.3">
      <c r="A24" t="s">
        <v>47</v>
      </c>
      <c r="B24">
        <v>2023</v>
      </c>
      <c r="C24" t="s">
        <v>110</v>
      </c>
      <c r="D24" t="s">
        <v>118</v>
      </c>
      <c r="E24">
        <v>7.5</v>
      </c>
      <c r="F24">
        <v>203</v>
      </c>
      <c r="G24">
        <v>143</v>
      </c>
      <c r="H24" t="s">
        <v>141</v>
      </c>
      <c r="I24" t="s">
        <v>150</v>
      </c>
      <c r="J24" t="s">
        <v>152</v>
      </c>
      <c r="K24">
        <v>199</v>
      </c>
      <c r="L24" t="s">
        <v>154</v>
      </c>
      <c r="M24">
        <v>2.0099999999999998</v>
      </c>
      <c r="N24" t="s">
        <v>158</v>
      </c>
      <c r="O24">
        <v>4</v>
      </c>
      <c r="P24" t="s">
        <v>168</v>
      </c>
      <c r="Q24">
        <v>5.5</v>
      </c>
      <c r="R24">
        <v>90193</v>
      </c>
      <c r="S24">
        <v>7</v>
      </c>
      <c r="T24" t="s">
        <v>169</v>
      </c>
      <c r="U24">
        <v>1699</v>
      </c>
      <c r="V24" t="s">
        <v>163</v>
      </c>
      <c r="W24">
        <v>13.3</v>
      </c>
      <c r="X24">
        <v>5.5</v>
      </c>
      <c r="Y24">
        <v>22.1</v>
      </c>
    </row>
    <row r="25" spans="1:25" x14ac:dyDescent="0.3">
      <c r="A25" t="s">
        <v>48</v>
      </c>
      <c r="B25">
        <v>2022</v>
      </c>
      <c r="C25" t="s">
        <v>110</v>
      </c>
      <c r="D25" t="s">
        <v>121</v>
      </c>
      <c r="E25">
        <v>7.4</v>
      </c>
      <c r="F25">
        <v>189</v>
      </c>
      <c r="G25">
        <v>141</v>
      </c>
      <c r="H25" t="s">
        <v>142</v>
      </c>
      <c r="I25" t="s">
        <v>150</v>
      </c>
      <c r="J25" t="s">
        <v>151</v>
      </c>
      <c r="K25">
        <v>152</v>
      </c>
      <c r="L25" t="s">
        <v>153</v>
      </c>
      <c r="M25">
        <v>24.34</v>
      </c>
      <c r="N25" t="s">
        <v>159</v>
      </c>
      <c r="O25">
        <v>4</v>
      </c>
      <c r="P25" t="s">
        <v>168</v>
      </c>
      <c r="Q25">
        <v>8.8000000000000007</v>
      </c>
      <c r="R25">
        <v>82346</v>
      </c>
      <c r="S25">
        <v>7</v>
      </c>
      <c r="T25" t="s">
        <v>169</v>
      </c>
      <c r="U25">
        <v>2246</v>
      </c>
      <c r="V25" t="s">
        <v>174</v>
      </c>
      <c r="W25">
        <v>22.95</v>
      </c>
      <c r="X25">
        <v>5.45</v>
      </c>
      <c r="Y25">
        <v>26.24</v>
      </c>
    </row>
    <row r="26" spans="1:25" x14ac:dyDescent="0.3">
      <c r="A26" t="s">
        <v>49</v>
      </c>
      <c r="B26">
        <v>2019</v>
      </c>
      <c r="C26" t="s">
        <v>111</v>
      </c>
      <c r="D26" t="s">
        <v>119</v>
      </c>
      <c r="E26">
        <v>7.1</v>
      </c>
      <c r="F26">
        <v>556</v>
      </c>
      <c r="G26">
        <v>127</v>
      </c>
      <c r="H26" t="s">
        <v>137</v>
      </c>
      <c r="I26" t="s">
        <v>150</v>
      </c>
      <c r="J26" t="s">
        <v>148</v>
      </c>
      <c r="K26">
        <v>210</v>
      </c>
      <c r="L26" t="s">
        <v>157</v>
      </c>
      <c r="M26">
        <v>164.76</v>
      </c>
      <c r="N26" t="s">
        <v>162</v>
      </c>
      <c r="O26">
        <v>0</v>
      </c>
      <c r="P26" t="s">
        <v>164</v>
      </c>
      <c r="Q26">
        <v>6.8</v>
      </c>
      <c r="R26">
        <v>30754</v>
      </c>
      <c r="S26">
        <v>4</v>
      </c>
      <c r="T26" t="s">
        <v>171</v>
      </c>
      <c r="U26">
        <v>2224</v>
      </c>
      <c r="V26" t="s">
        <v>165</v>
      </c>
      <c r="W26">
        <v>9.74</v>
      </c>
      <c r="X26">
        <v>4.2300000000000004</v>
      </c>
      <c r="Y26">
        <v>31.5</v>
      </c>
    </row>
    <row r="27" spans="1:25" x14ac:dyDescent="0.3">
      <c r="A27" t="s">
        <v>50</v>
      </c>
      <c r="B27">
        <v>2012</v>
      </c>
      <c r="C27" t="s">
        <v>112</v>
      </c>
      <c r="D27" t="s">
        <v>119</v>
      </c>
      <c r="E27">
        <v>8.1999999999999993</v>
      </c>
      <c r="F27">
        <v>474</v>
      </c>
      <c r="G27">
        <v>148</v>
      </c>
      <c r="H27" t="s">
        <v>141</v>
      </c>
      <c r="I27" t="s">
        <v>148</v>
      </c>
      <c r="J27" t="s">
        <v>151</v>
      </c>
      <c r="K27">
        <v>137</v>
      </c>
      <c r="L27" t="s">
        <v>156</v>
      </c>
      <c r="M27">
        <v>245.99</v>
      </c>
      <c r="N27" t="s">
        <v>161</v>
      </c>
      <c r="O27">
        <v>2</v>
      </c>
      <c r="P27" t="s">
        <v>166</v>
      </c>
      <c r="Q27">
        <v>9.5</v>
      </c>
      <c r="R27">
        <v>18521</v>
      </c>
      <c r="S27">
        <v>7</v>
      </c>
      <c r="T27" t="s">
        <v>169</v>
      </c>
      <c r="U27">
        <v>1949</v>
      </c>
      <c r="V27" t="s">
        <v>165</v>
      </c>
      <c r="W27">
        <v>17.09</v>
      </c>
      <c r="X27">
        <v>2.5099999999999998</v>
      </c>
      <c r="Y27">
        <v>26.22</v>
      </c>
    </row>
    <row r="28" spans="1:25" x14ac:dyDescent="0.3">
      <c r="A28" t="s">
        <v>51</v>
      </c>
      <c r="B28">
        <v>2015</v>
      </c>
      <c r="C28" t="s">
        <v>113</v>
      </c>
      <c r="D28" t="s">
        <v>123</v>
      </c>
      <c r="E28">
        <v>8.3000000000000007</v>
      </c>
      <c r="F28">
        <v>276</v>
      </c>
      <c r="G28">
        <v>163</v>
      </c>
      <c r="H28" t="s">
        <v>143</v>
      </c>
      <c r="I28" t="s">
        <v>147</v>
      </c>
      <c r="J28" t="s">
        <v>151</v>
      </c>
      <c r="K28">
        <v>42</v>
      </c>
      <c r="L28" t="s">
        <v>153</v>
      </c>
      <c r="M28">
        <v>557.14</v>
      </c>
      <c r="N28" t="s">
        <v>161</v>
      </c>
      <c r="O28">
        <v>5</v>
      </c>
      <c r="P28" t="s">
        <v>168</v>
      </c>
      <c r="Q28">
        <v>8.8000000000000007</v>
      </c>
      <c r="R28">
        <v>73707</v>
      </c>
      <c r="S28">
        <v>4</v>
      </c>
      <c r="T28" t="s">
        <v>173</v>
      </c>
      <c r="U28">
        <v>1883</v>
      </c>
      <c r="V28" t="s">
        <v>167</v>
      </c>
      <c r="W28">
        <v>5.1100000000000003</v>
      </c>
      <c r="X28">
        <v>3.53</v>
      </c>
      <c r="Y28">
        <v>44.66</v>
      </c>
    </row>
    <row r="29" spans="1:25" x14ac:dyDescent="0.3">
      <c r="A29" t="s">
        <v>52</v>
      </c>
      <c r="B29">
        <v>2024</v>
      </c>
      <c r="C29" t="s">
        <v>103</v>
      </c>
      <c r="D29" t="s">
        <v>121</v>
      </c>
      <c r="E29">
        <v>6.1</v>
      </c>
      <c r="F29">
        <v>397</v>
      </c>
      <c r="G29">
        <v>142</v>
      </c>
      <c r="H29" t="s">
        <v>140</v>
      </c>
      <c r="I29" t="s">
        <v>147</v>
      </c>
      <c r="J29" t="s">
        <v>152</v>
      </c>
      <c r="K29">
        <v>232</v>
      </c>
      <c r="L29" t="s">
        <v>156</v>
      </c>
      <c r="M29">
        <v>71.12</v>
      </c>
      <c r="N29" t="s">
        <v>158</v>
      </c>
      <c r="O29">
        <v>1</v>
      </c>
      <c r="P29" t="s">
        <v>166</v>
      </c>
      <c r="Q29">
        <v>6.1</v>
      </c>
      <c r="R29">
        <v>94934</v>
      </c>
      <c r="S29">
        <v>5</v>
      </c>
      <c r="T29" t="s">
        <v>169</v>
      </c>
      <c r="U29">
        <v>1134</v>
      </c>
      <c r="V29" t="s">
        <v>165</v>
      </c>
      <c r="W29">
        <v>22.26</v>
      </c>
      <c r="X29">
        <v>0.57999999999999996</v>
      </c>
      <c r="Y29">
        <v>26.73</v>
      </c>
    </row>
    <row r="30" spans="1:25" x14ac:dyDescent="0.3">
      <c r="A30" t="s">
        <v>53</v>
      </c>
      <c r="B30">
        <v>2010</v>
      </c>
      <c r="C30" t="s">
        <v>110</v>
      </c>
      <c r="D30" t="s">
        <v>119</v>
      </c>
      <c r="E30">
        <v>5.0999999999999996</v>
      </c>
      <c r="F30">
        <v>389</v>
      </c>
      <c r="G30">
        <v>144</v>
      </c>
      <c r="H30" t="s">
        <v>144</v>
      </c>
      <c r="I30" t="s">
        <v>147</v>
      </c>
      <c r="J30" t="s">
        <v>151</v>
      </c>
      <c r="K30">
        <v>204</v>
      </c>
      <c r="L30" t="s">
        <v>155</v>
      </c>
      <c r="M30">
        <v>90.69</v>
      </c>
      <c r="N30" t="s">
        <v>159</v>
      </c>
      <c r="O30">
        <v>5</v>
      </c>
      <c r="P30" t="s">
        <v>166</v>
      </c>
      <c r="Q30">
        <v>6.4</v>
      </c>
      <c r="R30">
        <v>73961</v>
      </c>
      <c r="S30">
        <v>7</v>
      </c>
      <c r="T30" t="s">
        <v>169</v>
      </c>
      <c r="U30">
        <v>1548</v>
      </c>
      <c r="V30" t="s">
        <v>167</v>
      </c>
      <c r="W30">
        <v>25.48</v>
      </c>
      <c r="X30">
        <v>4.62</v>
      </c>
      <c r="Y30">
        <v>14.12</v>
      </c>
    </row>
    <row r="31" spans="1:25" x14ac:dyDescent="0.3">
      <c r="A31" t="s">
        <v>54</v>
      </c>
      <c r="B31">
        <v>2013</v>
      </c>
      <c r="C31" t="s">
        <v>113</v>
      </c>
      <c r="D31" t="s">
        <v>126</v>
      </c>
      <c r="E31">
        <v>8.1999999999999993</v>
      </c>
      <c r="F31">
        <v>283</v>
      </c>
      <c r="G31">
        <v>161</v>
      </c>
      <c r="H31" t="s">
        <v>142</v>
      </c>
      <c r="I31" t="s">
        <v>149</v>
      </c>
      <c r="J31" t="s">
        <v>148</v>
      </c>
      <c r="K31">
        <v>145</v>
      </c>
      <c r="L31" t="s">
        <v>153</v>
      </c>
      <c r="M31">
        <v>95.17</v>
      </c>
      <c r="N31" t="s">
        <v>160</v>
      </c>
      <c r="O31">
        <v>2</v>
      </c>
      <c r="P31" t="s">
        <v>166</v>
      </c>
      <c r="Q31">
        <v>5.9</v>
      </c>
      <c r="R31">
        <v>66794</v>
      </c>
      <c r="S31">
        <v>4</v>
      </c>
      <c r="T31" t="s">
        <v>171</v>
      </c>
      <c r="U31">
        <v>2126</v>
      </c>
      <c r="V31" t="s">
        <v>168</v>
      </c>
      <c r="W31">
        <v>22.67</v>
      </c>
      <c r="X31">
        <v>5.48</v>
      </c>
      <c r="Y31">
        <v>10.55</v>
      </c>
    </row>
    <row r="32" spans="1:25" x14ac:dyDescent="0.3">
      <c r="A32" t="s">
        <v>55</v>
      </c>
      <c r="B32">
        <v>2022</v>
      </c>
      <c r="C32" t="s">
        <v>103</v>
      </c>
      <c r="D32" t="s">
        <v>124</v>
      </c>
      <c r="E32">
        <v>6.7</v>
      </c>
      <c r="F32">
        <v>78</v>
      </c>
      <c r="G32">
        <v>178</v>
      </c>
      <c r="H32" t="s">
        <v>140</v>
      </c>
      <c r="I32" t="s">
        <v>148</v>
      </c>
      <c r="J32" t="s">
        <v>152</v>
      </c>
      <c r="K32">
        <v>103</v>
      </c>
      <c r="L32" t="s">
        <v>155</v>
      </c>
      <c r="M32">
        <v>-24.27</v>
      </c>
      <c r="N32" t="s">
        <v>160</v>
      </c>
      <c r="O32">
        <v>1</v>
      </c>
      <c r="P32" t="s">
        <v>164</v>
      </c>
      <c r="Q32">
        <v>5.6</v>
      </c>
      <c r="R32">
        <v>85366</v>
      </c>
      <c r="S32">
        <v>5</v>
      </c>
      <c r="T32" t="s">
        <v>169</v>
      </c>
      <c r="U32">
        <v>1519</v>
      </c>
      <c r="V32" t="s">
        <v>167</v>
      </c>
      <c r="W32">
        <v>9.02</v>
      </c>
      <c r="X32">
        <v>9</v>
      </c>
      <c r="Y32">
        <v>34.65</v>
      </c>
    </row>
    <row r="33" spans="1:25" x14ac:dyDescent="0.3">
      <c r="A33" t="s">
        <v>56</v>
      </c>
      <c r="B33">
        <v>2011</v>
      </c>
      <c r="C33" t="s">
        <v>113</v>
      </c>
      <c r="D33" t="s">
        <v>121</v>
      </c>
      <c r="E33">
        <v>8.5</v>
      </c>
      <c r="F33">
        <v>233</v>
      </c>
      <c r="G33">
        <v>159</v>
      </c>
      <c r="H33" t="s">
        <v>141</v>
      </c>
      <c r="I33" t="s">
        <v>147</v>
      </c>
      <c r="J33" t="s">
        <v>148</v>
      </c>
      <c r="K33">
        <v>72</v>
      </c>
      <c r="L33" t="s">
        <v>156</v>
      </c>
      <c r="M33">
        <v>223.61</v>
      </c>
      <c r="N33" t="s">
        <v>162</v>
      </c>
      <c r="O33">
        <v>4</v>
      </c>
      <c r="P33" t="s">
        <v>164</v>
      </c>
      <c r="Q33">
        <v>8.4</v>
      </c>
      <c r="R33">
        <v>42893</v>
      </c>
      <c r="S33">
        <v>5</v>
      </c>
      <c r="T33" t="s">
        <v>172</v>
      </c>
      <c r="U33">
        <v>1582</v>
      </c>
      <c r="V33" t="s">
        <v>165</v>
      </c>
      <c r="W33">
        <v>21.82</v>
      </c>
      <c r="X33">
        <v>5.22</v>
      </c>
      <c r="Y33">
        <v>41.1</v>
      </c>
    </row>
    <row r="34" spans="1:25" x14ac:dyDescent="0.3">
      <c r="A34" t="s">
        <v>57</v>
      </c>
      <c r="B34">
        <v>2022</v>
      </c>
      <c r="C34" t="s">
        <v>114</v>
      </c>
      <c r="D34" t="s">
        <v>122</v>
      </c>
      <c r="E34">
        <v>6.1</v>
      </c>
      <c r="F34">
        <v>173</v>
      </c>
      <c r="G34">
        <v>143</v>
      </c>
      <c r="H34" t="s">
        <v>144</v>
      </c>
      <c r="I34" t="s">
        <v>147</v>
      </c>
      <c r="J34" t="s">
        <v>151</v>
      </c>
      <c r="K34">
        <v>248</v>
      </c>
      <c r="L34" t="s">
        <v>157</v>
      </c>
      <c r="M34">
        <v>-30.24</v>
      </c>
      <c r="N34" t="s">
        <v>158</v>
      </c>
      <c r="O34">
        <v>4</v>
      </c>
      <c r="P34" t="s">
        <v>167</v>
      </c>
      <c r="Q34">
        <v>7.7</v>
      </c>
      <c r="R34">
        <v>47057</v>
      </c>
      <c r="S34">
        <v>5</v>
      </c>
      <c r="T34" t="s">
        <v>171</v>
      </c>
      <c r="U34">
        <v>1821</v>
      </c>
      <c r="V34" t="s">
        <v>168</v>
      </c>
      <c r="W34">
        <v>25.29</v>
      </c>
      <c r="X34">
        <v>9.44</v>
      </c>
      <c r="Y34">
        <v>34.19</v>
      </c>
    </row>
    <row r="35" spans="1:25" x14ac:dyDescent="0.3">
      <c r="A35" t="s">
        <v>58</v>
      </c>
      <c r="B35">
        <v>2011</v>
      </c>
      <c r="C35" t="s">
        <v>112</v>
      </c>
      <c r="D35" t="s">
        <v>121</v>
      </c>
      <c r="E35">
        <v>7.1</v>
      </c>
      <c r="F35">
        <v>192</v>
      </c>
      <c r="G35">
        <v>178</v>
      </c>
      <c r="H35" t="s">
        <v>143</v>
      </c>
      <c r="I35" t="s">
        <v>147</v>
      </c>
      <c r="J35" t="s">
        <v>151</v>
      </c>
      <c r="K35">
        <v>219</v>
      </c>
      <c r="L35" t="s">
        <v>154</v>
      </c>
      <c r="M35">
        <v>-12.33</v>
      </c>
      <c r="N35" t="s">
        <v>161</v>
      </c>
      <c r="O35">
        <v>7</v>
      </c>
      <c r="P35" t="s">
        <v>167</v>
      </c>
      <c r="Q35">
        <v>6.1</v>
      </c>
      <c r="R35">
        <v>35061</v>
      </c>
      <c r="S35">
        <v>3</v>
      </c>
      <c r="T35" t="s">
        <v>171</v>
      </c>
      <c r="U35">
        <v>1591</v>
      </c>
      <c r="V35" t="s">
        <v>174</v>
      </c>
      <c r="W35">
        <v>2.41</v>
      </c>
      <c r="X35">
        <v>8.7200000000000006</v>
      </c>
      <c r="Y35">
        <v>2.71</v>
      </c>
    </row>
    <row r="36" spans="1:25" x14ac:dyDescent="0.3">
      <c r="A36" t="s">
        <v>59</v>
      </c>
      <c r="B36">
        <v>2010</v>
      </c>
      <c r="C36" t="s">
        <v>109</v>
      </c>
      <c r="D36" t="s">
        <v>118</v>
      </c>
      <c r="E36">
        <v>5.3</v>
      </c>
      <c r="F36">
        <v>545</v>
      </c>
      <c r="G36">
        <v>163</v>
      </c>
      <c r="H36" t="s">
        <v>137</v>
      </c>
      <c r="I36" t="s">
        <v>149</v>
      </c>
      <c r="J36" t="s">
        <v>152</v>
      </c>
      <c r="K36">
        <v>83</v>
      </c>
      <c r="L36" t="s">
        <v>156</v>
      </c>
      <c r="M36">
        <v>556.63</v>
      </c>
      <c r="N36" t="s">
        <v>158</v>
      </c>
      <c r="O36">
        <v>7</v>
      </c>
      <c r="P36" t="s">
        <v>165</v>
      </c>
      <c r="Q36">
        <v>6.5</v>
      </c>
      <c r="R36">
        <v>40797</v>
      </c>
      <c r="S36">
        <v>6</v>
      </c>
      <c r="T36" t="s">
        <v>169</v>
      </c>
      <c r="U36">
        <v>1615</v>
      </c>
      <c r="V36" t="s">
        <v>167</v>
      </c>
      <c r="W36">
        <v>5.59</v>
      </c>
      <c r="X36">
        <v>4.95</v>
      </c>
      <c r="Y36">
        <v>44.37</v>
      </c>
    </row>
    <row r="37" spans="1:25" x14ac:dyDescent="0.3">
      <c r="A37" t="s">
        <v>60</v>
      </c>
      <c r="B37">
        <v>2018</v>
      </c>
      <c r="C37" t="s">
        <v>115</v>
      </c>
      <c r="D37" t="s">
        <v>122</v>
      </c>
      <c r="E37">
        <v>6.7</v>
      </c>
      <c r="F37">
        <v>150</v>
      </c>
      <c r="G37">
        <v>142</v>
      </c>
      <c r="H37" t="s">
        <v>142</v>
      </c>
      <c r="I37" t="s">
        <v>147</v>
      </c>
      <c r="J37" t="s">
        <v>152</v>
      </c>
      <c r="K37">
        <v>102</v>
      </c>
      <c r="L37" t="s">
        <v>155</v>
      </c>
      <c r="M37">
        <v>47.06</v>
      </c>
      <c r="N37" t="s">
        <v>158</v>
      </c>
      <c r="O37">
        <v>2</v>
      </c>
      <c r="P37" t="s">
        <v>164</v>
      </c>
      <c r="Q37">
        <v>7</v>
      </c>
      <c r="R37">
        <v>90560</v>
      </c>
      <c r="S37">
        <v>4</v>
      </c>
      <c r="T37" t="s">
        <v>169</v>
      </c>
      <c r="U37">
        <v>439</v>
      </c>
      <c r="V37" t="s">
        <v>165</v>
      </c>
      <c r="W37">
        <v>10.36</v>
      </c>
      <c r="X37">
        <v>5.93</v>
      </c>
      <c r="Y37">
        <v>13</v>
      </c>
    </row>
    <row r="38" spans="1:25" x14ac:dyDescent="0.3">
      <c r="A38" t="s">
        <v>61</v>
      </c>
      <c r="B38">
        <v>2013</v>
      </c>
      <c r="C38" t="s">
        <v>113</v>
      </c>
      <c r="D38" t="s">
        <v>117</v>
      </c>
      <c r="E38">
        <v>8.6</v>
      </c>
      <c r="F38">
        <v>154</v>
      </c>
      <c r="G38">
        <v>173</v>
      </c>
      <c r="H38" t="s">
        <v>143</v>
      </c>
      <c r="I38" t="s">
        <v>149</v>
      </c>
      <c r="J38" t="s">
        <v>148</v>
      </c>
      <c r="K38">
        <v>45</v>
      </c>
      <c r="L38" t="s">
        <v>154</v>
      </c>
      <c r="M38">
        <v>242.22</v>
      </c>
      <c r="N38" t="s">
        <v>158</v>
      </c>
      <c r="O38">
        <v>4</v>
      </c>
      <c r="P38" t="s">
        <v>167</v>
      </c>
      <c r="Q38">
        <v>6</v>
      </c>
      <c r="R38">
        <v>6772</v>
      </c>
      <c r="S38">
        <v>6</v>
      </c>
      <c r="T38" t="s">
        <v>171</v>
      </c>
      <c r="U38">
        <v>794</v>
      </c>
      <c r="V38" t="s">
        <v>165</v>
      </c>
      <c r="W38">
        <v>26.55</v>
      </c>
      <c r="X38">
        <v>7.2</v>
      </c>
      <c r="Y38">
        <v>46.8</v>
      </c>
    </row>
    <row r="39" spans="1:25" x14ac:dyDescent="0.3">
      <c r="A39" t="s">
        <v>62</v>
      </c>
      <c r="B39">
        <v>2015</v>
      </c>
      <c r="C39" t="s">
        <v>103</v>
      </c>
      <c r="D39" t="s">
        <v>126</v>
      </c>
      <c r="E39">
        <v>5.4</v>
      </c>
      <c r="F39">
        <v>431</v>
      </c>
      <c r="G39">
        <v>158</v>
      </c>
      <c r="H39" t="s">
        <v>141</v>
      </c>
      <c r="I39" t="s">
        <v>150</v>
      </c>
      <c r="J39" t="s">
        <v>148</v>
      </c>
      <c r="K39">
        <v>190</v>
      </c>
      <c r="L39" t="s">
        <v>154</v>
      </c>
      <c r="M39">
        <v>126.84</v>
      </c>
      <c r="N39" t="s">
        <v>162</v>
      </c>
      <c r="O39">
        <v>5</v>
      </c>
      <c r="P39" t="s">
        <v>164</v>
      </c>
      <c r="Q39">
        <v>7.7</v>
      </c>
      <c r="R39">
        <v>48860</v>
      </c>
      <c r="S39">
        <v>4</v>
      </c>
      <c r="T39" t="s">
        <v>172</v>
      </c>
      <c r="U39">
        <v>2378</v>
      </c>
      <c r="V39" t="s">
        <v>167</v>
      </c>
      <c r="W39">
        <v>15.84</v>
      </c>
      <c r="X39">
        <v>4.33</v>
      </c>
      <c r="Y39">
        <v>41.86</v>
      </c>
    </row>
    <row r="40" spans="1:25" x14ac:dyDescent="0.3">
      <c r="A40" t="s">
        <v>63</v>
      </c>
      <c r="B40">
        <v>2010</v>
      </c>
      <c r="C40" t="s">
        <v>109</v>
      </c>
      <c r="D40" t="s">
        <v>118</v>
      </c>
      <c r="E40">
        <v>5.6</v>
      </c>
      <c r="F40">
        <v>534</v>
      </c>
      <c r="G40">
        <v>177</v>
      </c>
      <c r="H40" t="s">
        <v>145</v>
      </c>
      <c r="I40" t="s">
        <v>150</v>
      </c>
      <c r="J40" t="s">
        <v>151</v>
      </c>
      <c r="K40">
        <v>164</v>
      </c>
      <c r="L40" t="s">
        <v>153</v>
      </c>
      <c r="M40">
        <v>225.61</v>
      </c>
      <c r="N40" t="s">
        <v>158</v>
      </c>
      <c r="O40">
        <v>2</v>
      </c>
      <c r="P40" t="s">
        <v>167</v>
      </c>
      <c r="Q40">
        <v>6.6</v>
      </c>
      <c r="R40">
        <v>21943</v>
      </c>
      <c r="S40">
        <v>3</v>
      </c>
      <c r="T40" t="s">
        <v>171</v>
      </c>
      <c r="U40">
        <v>836</v>
      </c>
      <c r="V40" t="s">
        <v>168</v>
      </c>
      <c r="W40">
        <v>14.85</v>
      </c>
      <c r="X40">
        <v>1.39</v>
      </c>
      <c r="Y40">
        <v>28.99</v>
      </c>
    </row>
    <row r="41" spans="1:25" x14ac:dyDescent="0.3">
      <c r="A41" t="s">
        <v>64</v>
      </c>
      <c r="B41">
        <v>2014</v>
      </c>
      <c r="C41" t="s">
        <v>114</v>
      </c>
      <c r="D41" t="s">
        <v>119</v>
      </c>
      <c r="E41">
        <v>7.4</v>
      </c>
      <c r="F41">
        <v>476</v>
      </c>
      <c r="G41">
        <v>144</v>
      </c>
      <c r="H41" t="s">
        <v>141</v>
      </c>
      <c r="I41" t="s">
        <v>150</v>
      </c>
      <c r="J41" t="s">
        <v>151</v>
      </c>
      <c r="K41">
        <v>152</v>
      </c>
      <c r="L41" t="s">
        <v>154</v>
      </c>
      <c r="M41">
        <v>213.16</v>
      </c>
      <c r="N41" t="s">
        <v>160</v>
      </c>
      <c r="O41">
        <v>9</v>
      </c>
      <c r="P41" t="s">
        <v>167</v>
      </c>
      <c r="Q41">
        <v>9.4</v>
      </c>
      <c r="R41">
        <v>38543</v>
      </c>
      <c r="S41">
        <v>6</v>
      </c>
      <c r="T41" t="s">
        <v>173</v>
      </c>
      <c r="U41">
        <v>432</v>
      </c>
      <c r="V41" t="s">
        <v>167</v>
      </c>
      <c r="W41">
        <v>26.04</v>
      </c>
      <c r="X41">
        <v>4.22</v>
      </c>
      <c r="Y41">
        <v>3.1</v>
      </c>
    </row>
    <row r="42" spans="1:25" x14ac:dyDescent="0.3">
      <c r="A42" t="s">
        <v>65</v>
      </c>
      <c r="B42">
        <v>2017</v>
      </c>
      <c r="C42" t="s">
        <v>106</v>
      </c>
      <c r="D42" t="s">
        <v>124</v>
      </c>
      <c r="E42">
        <v>6.6</v>
      </c>
      <c r="F42">
        <v>110</v>
      </c>
      <c r="G42">
        <v>162</v>
      </c>
      <c r="H42" t="s">
        <v>146</v>
      </c>
      <c r="I42" t="s">
        <v>147</v>
      </c>
      <c r="J42" t="s">
        <v>152</v>
      </c>
      <c r="K42">
        <v>216</v>
      </c>
      <c r="L42" t="s">
        <v>156</v>
      </c>
      <c r="M42">
        <v>-49.07</v>
      </c>
      <c r="N42" t="s">
        <v>161</v>
      </c>
      <c r="O42">
        <v>2</v>
      </c>
      <c r="P42" t="s">
        <v>165</v>
      </c>
      <c r="Q42">
        <v>5.7</v>
      </c>
      <c r="R42">
        <v>43135</v>
      </c>
      <c r="S42">
        <v>4</v>
      </c>
      <c r="T42" t="s">
        <v>172</v>
      </c>
      <c r="U42">
        <v>819</v>
      </c>
      <c r="V42" t="s">
        <v>163</v>
      </c>
      <c r="W42">
        <v>6.46</v>
      </c>
      <c r="X42">
        <v>2.98</v>
      </c>
      <c r="Y42">
        <v>8.01</v>
      </c>
    </row>
    <row r="43" spans="1:25" x14ac:dyDescent="0.3">
      <c r="A43" t="s">
        <v>66</v>
      </c>
      <c r="B43">
        <v>2019</v>
      </c>
      <c r="C43" t="s">
        <v>111</v>
      </c>
      <c r="D43" t="s">
        <v>117</v>
      </c>
      <c r="E43">
        <v>7.5</v>
      </c>
      <c r="F43">
        <v>322</v>
      </c>
      <c r="G43">
        <v>149</v>
      </c>
      <c r="H43" t="s">
        <v>142</v>
      </c>
      <c r="I43" t="s">
        <v>149</v>
      </c>
      <c r="J43" t="s">
        <v>148</v>
      </c>
      <c r="K43">
        <v>132</v>
      </c>
      <c r="L43" t="s">
        <v>154</v>
      </c>
      <c r="M43">
        <v>143.94</v>
      </c>
      <c r="N43" t="s">
        <v>162</v>
      </c>
      <c r="O43">
        <v>9</v>
      </c>
      <c r="P43" t="s">
        <v>167</v>
      </c>
      <c r="Q43">
        <v>7.9</v>
      </c>
      <c r="R43">
        <v>7395</v>
      </c>
      <c r="S43">
        <v>6</v>
      </c>
      <c r="T43" t="s">
        <v>171</v>
      </c>
      <c r="U43">
        <v>955</v>
      </c>
      <c r="V43" t="s">
        <v>165</v>
      </c>
      <c r="W43">
        <v>29.61</v>
      </c>
      <c r="X43">
        <v>4.84</v>
      </c>
      <c r="Y43">
        <v>25.04</v>
      </c>
    </row>
    <row r="44" spans="1:25" x14ac:dyDescent="0.3">
      <c r="A44" t="s">
        <v>67</v>
      </c>
      <c r="B44">
        <v>2019</v>
      </c>
      <c r="C44" t="s">
        <v>111</v>
      </c>
      <c r="D44" t="s">
        <v>117</v>
      </c>
      <c r="E44">
        <v>8</v>
      </c>
      <c r="F44">
        <v>375</v>
      </c>
      <c r="G44">
        <v>139</v>
      </c>
      <c r="H44" t="s">
        <v>142</v>
      </c>
      <c r="I44" t="s">
        <v>150</v>
      </c>
      <c r="J44" t="s">
        <v>152</v>
      </c>
      <c r="K44">
        <v>103</v>
      </c>
      <c r="L44" t="s">
        <v>157</v>
      </c>
      <c r="M44">
        <v>264.08</v>
      </c>
      <c r="N44" t="s">
        <v>159</v>
      </c>
      <c r="O44">
        <v>9</v>
      </c>
      <c r="P44" t="s">
        <v>164</v>
      </c>
      <c r="Q44">
        <v>7.3</v>
      </c>
      <c r="R44">
        <v>6711</v>
      </c>
      <c r="S44">
        <v>4</v>
      </c>
      <c r="T44" t="s">
        <v>170</v>
      </c>
      <c r="U44">
        <v>1728</v>
      </c>
      <c r="V44" t="s">
        <v>163</v>
      </c>
      <c r="W44">
        <v>2.1800000000000002</v>
      </c>
      <c r="X44">
        <v>9.6300000000000008</v>
      </c>
      <c r="Y44">
        <v>28.78</v>
      </c>
    </row>
    <row r="45" spans="1:25" x14ac:dyDescent="0.3">
      <c r="A45" t="s">
        <v>68</v>
      </c>
      <c r="B45">
        <v>2018</v>
      </c>
      <c r="C45" t="s">
        <v>115</v>
      </c>
      <c r="D45" t="s">
        <v>123</v>
      </c>
      <c r="E45">
        <v>5.5</v>
      </c>
      <c r="F45">
        <v>388</v>
      </c>
      <c r="G45">
        <v>176</v>
      </c>
      <c r="H45" t="s">
        <v>137</v>
      </c>
      <c r="I45" t="s">
        <v>150</v>
      </c>
      <c r="J45" t="s">
        <v>148</v>
      </c>
      <c r="K45">
        <v>245</v>
      </c>
      <c r="L45" t="s">
        <v>157</v>
      </c>
      <c r="M45">
        <v>58.37</v>
      </c>
      <c r="N45" t="s">
        <v>158</v>
      </c>
      <c r="O45">
        <v>4</v>
      </c>
      <c r="P45" t="s">
        <v>163</v>
      </c>
      <c r="Q45">
        <v>5.8</v>
      </c>
      <c r="R45">
        <v>58375</v>
      </c>
      <c r="S45">
        <v>4</v>
      </c>
      <c r="T45" t="s">
        <v>173</v>
      </c>
      <c r="U45">
        <v>1014</v>
      </c>
      <c r="V45" t="s">
        <v>163</v>
      </c>
      <c r="W45">
        <v>27.66</v>
      </c>
      <c r="X45">
        <v>2.84</v>
      </c>
      <c r="Y45">
        <v>12.45</v>
      </c>
    </row>
    <row r="46" spans="1:25" x14ac:dyDescent="0.3">
      <c r="A46" t="s">
        <v>69</v>
      </c>
      <c r="B46">
        <v>2018</v>
      </c>
      <c r="C46" t="s">
        <v>115</v>
      </c>
      <c r="D46" t="s">
        <v>121</v>
      </c>
      <c r="E46">
        <v>6.7</v>
      </c>
      <c r="F46">
        <v>328</v>
      </c>
      <c r="G46">
        <v>149</v>
      </c>
      <c r="H46" t="s">
        <v>145</v>
      </c>
      <c r="I46" t="s">
        <v>148</v>
      </c>
      <c r="J46" t="s">
        <v>148</v>
      </c>
      <c r="K46">
        <v>138</v>
      </c>
      <c r="L46" t="s">
        <v>155</v>
      </c>
      <c r="M46">
        <v>137.68</v>
      </c>
      <c r="N46" t="s">
        <v>160</v>
      </c>
      <c r="O46">
        <v>4</v>
      </c>
      <c r="P46" t="s">
        <v>168</v>
      </c>
      <c r="Q46">
        <v>5.0999999999999996</v>
      </c>
      <c r="R46">
        <v>8079</v>
      </c>
      <c r="S46">
        <v>6</v>
      </c>
      <c r="T46" t="s">
        <v>171</v>
      </c>
      <c r="U46">
        <v>322</v>
      </c>
      <c r="V46" t="s">
        <v>163</v>
      </c>
      <c r="W46">
        <v>17.260000000000002</v>
      </c>
      <c r="X46">
        <v>2.83</v>
      </c>
      <c r="Y46">
        <v>25.85</v>
      </c>
    </row>
    <row r="47" spans="1:25" x14ac:dyDescent="0.3">
      <c r="A47" t="s">
        <v>70</v>
      </c>
      <c r="B47">
        <v>2021</v>
      </c>
      <c r="C47" t="s">
        <v>115</v>
      </c>
      <c r="D47" t="s">
        <v>123</v>
      </c>
      <c r="E47">
        <v>7.2</v>
      </c>
      <c r="F47">
        <v>596</v>
      </c>
      <c r="G47">
        <v>158</v>
      </c>
      <c r="H47" t="s">
        <v>137</v>
      </c>
      <c r="I47" t="s">
        <v>148</v>
      </c>
      <c r="J47" t="s">
        <v>151</v>
      </c>
      <c r="K47">
        <v>37</v>
      </c>
      <c r="L47" t="s">
        <v>156</v>
      </c>
      <c r="M47">
        <v>1510.81</v>
      </c>
      <c r="N47" t="s">
        <v>162</v>
      </c>
      <c r="O47">
        <v>3</v>
      </c>
      <c r="P47" t="s">
        <v>167</v>
      </c>
      <c r="Q47">
        <v>8.3000000000000007</v>
      </c>
      <c r="R47">
        <v>67573</v>
      </c>
      <c r="S47">
        <v>7</v>
      </c>
      <c r="T47" t="s">
        <v>172</v>
      </c>
      <c r="U47">
        <v>1543</v>
      </c>
      <c r="V47" t="s">
        <v>174</v>
      </c>
      <c r="W47">
        <v>8.23</v>
      </c>
      <c r="X47">
        <v>4.03</v>
      </c>
      <c r="Y47">
        <v>26.38</v>
      </c>
    </row>
    <row r="48" spans="1:25" x14ac:dyDescent="0.3">
      <c r="A48" t="s">
        <v>71</v>
      </c>
      <c r="B48">
        <v>2014</v>
      </c>
      <c r="C48" t="s">
        <v>103</v>
      </c>
      <c r="D48" t="s">
        <v>123</v>
      </c>
      <c r="E48">
        <v>8.1999999999999993</v>
      </c>
      <c r="F48">
        <v>104</v>
      </c>
      <c r="G48">
        <v>120</v>
      </c>
      <c r="H48" t="s">
        <v>144</v>
      </c>
      <c r="I48" t="s">
        <v>149</v>
      </c>
      <c r="J48" t="s">
        <v>148</v>
      </c>
      <c r="K48">
        <v>26</v>
      </c>
      <c r="L48" t="s">
        <v>157</v>
      </c>
      <c r="M48">
        <v>300</v>
      </c>
      <c r="N48" t="s">
        <v>162</v>
      </c>
      <c r="O48">
        <v>6</v>
      </c>
      <c r="P48" t="s">
        <v>164</v>
      </c>
      <c r="Q48">
        <v>6.5</v>
      </c>
      <c r="R48">
        <v>34911</v>
      </c>
      <c r="S48">
        <v>6</v>
      </c>
      <c r="T48" t="s">
        <v>170</v>
      </c>
      <c r="U48">
        <v>1772</v>
      </c>
      <c r="V48" t="s">
        <v>167</v>
      </c>
      <c r="W48">
        <v>23.96</v>
      </c>
      <c r="X48">
        <v>7.05</v>
      </c>
      <c r="Y48">
        <v>28.87</v>
      </c>
    </row>
    <row r="49" spans="1:25" x14ac:dyDescent="0.3">
      <c r="A49" t="s">
        <v>72</v>
      </c>
      <c r="B49">
        <v>2021</v>
      </c>
      <c r="C49" t="s">
        <v>111</v>
      </c>
      <c r="D49" t="s">
        <v>122</v>
      </c>
      <c r="E49">
        <v>8.6999999999999993</v>
      </c>
      <c r="F49">
        <v>102</v>
      </c>
      <c r="G49">
        <v>172</v>
      </c>
      <c r="H49" t="s">
        <v>146</v>
      </c>
      <c r="I49" t="s">
        <v>147</v>
      </c>
      <c r="J49" t="s">
        <v>152</v>
      </c>
      <c r="K49">
        <v>94</v>
      </c>
      <c r="L49" t="s">
        <v>157</v>
      </c>
      <c r="M49">
        <v>8.51</v>
      </c>
      <c r="N49" t="s">
        <v>161</v>
      </c>
      <c r="O49">
        <v>3</v>
      </c>
      <c r="P49" t="s">
        <v>164</v>
      </c>
      <c r="Q49">
        <v>9.3000000000000007</v>
      </c>
      <c r="R49">
        <v>86119</v>
      </c>
      <c r="S49">
        <v>5</v>
      </c>
      <c r="T49" t="s">
        <v>169</v>
      </c>
      <c r="U49">
        <v>1169</v>
      </c>
      <c r="V49" t="s">
        <v>167</v>
      </c>
      <c r="W49">
        <v>20.38</v>
      </c>
      <c r="X49">
        <v>9.9</v>
      </c>
      <c r="Y49">
        <v>21.12</v>
      </c>
    </row>
    <row r="50" spans="1:25" x14ac:dyDescent="0.3">
      <c r="A50" t="s">
        <v>73</v>
      </c>
      <c r="B50">
        <v>2017</v>
      </c>
      <c r="C50" t="s">
        <v>103</v>
      </c>
      <c r="D50" t="s">
        <v>126</v>
      </c>
      <c r="E50">
        <v>5</v>
      </c>
      <c r="F50">
        <v>179</v>
      </c>
      <c r="G50">
        <v>171</v>
      </c>
      <c r="H50" t="s">
        <v>137</v>
      </c>
      <c r="I50" t="s">
        <v>149</v>
      </c>
      <c r="J50" t="s">
        <v>151</v>
      </c>
      <c r="K50">
        <v>134</v>
      </c>
      <c r="L50" t="s">
        <v>157</v>
      </c>
      <c r="M50">
        <v>33.58</v>
      </c>
      <c r="N50" t="s">
        <v>160</v>
      </c>
      <c r="O50">
        <v>8</v>
      </c>
      <c r="P50" t="s">
        <v>168</v>
      </c>
      <c r="Q50">
        <v>6.8</v>
      </c>
      <c r="R50">
        <v>69042</v>
      </c>
      <c r="S50">
        <v>4</v>
      </c>
      <c r="T50" t="s">
        <v>173</v>
      </c>
      <c r="U50">
        <v>838</v>
      </c>
      <c r="V50" t="s">
        <v>168</v>
      </c>
      <c r="W50">
        <v>3.92</v>
      </c>
      <c r="X50">
        <v>8.77</v>
      </c>
      <c r="Y50">
        <v>25.3</v>
      </c>
    </row>
    <row r="51" spans="1:25" x14ac:dyDescent="0.3">
      <c r="A51" t="s">
        <v>74</v>
      </c>
      <c r="B51">
        <v>2021</v>
      </c>
      <c r="C51" t="s">
        <v>103</v>
      </c>
      <c r="D51" t="s">
        <v>118</v>
      </c>
      <c r="E51">
        <v>6.2</v>
      </c>
      <c r="F51">
        <v>359</v>
      </c>
      <c r="G51">
        <v>127</v>
      </c>
      <c r="H51" t="s">
        <v>144</v>
      </c>
      <c r="I51" t="s">
        <v>149</v>
      </c>
      <c r="J51" t="s">
        <v>151</v>
      </c>
      <c r="K51">
        <v>165</v>
      </c>
      <c r="L51" t="s">
        <v>157</v>
      </c>
      <c r="M51">
        <v>117.58</v>
      </c>
      <c r="N51" t="s">
        <v>161</v>
      </c>
      <c r="O51">
        <v>1</v>
      </c>
      <c r="P51" t="s">
        <v>165</v>
      </c>
      <c r="Q51">
        <v>8.9</v>
      </c>
      <c r="R51">
        <v>91530</v>
      </c>
      <c r="S51">
        <v>6</v>
      </c>
      <c r="T51" t="s">
        <v>170</v>
      </c>
      <c r="U51">
        <v>1852</v>
      </c>
      <c r="V51" t="s">
        <v>167</v>
      </c>
      <c r="W51">
        <v>6.46</v>
      </c>
      <c r="X51">
        <v>4.8</v>
      </c>
      <c r="Y51">
        <v>40.53</v>
      </c>
    </row>
    <row r="52" spans="1:25" x14ac:dyDescent="0.3">
      <c r="A52" t="s">
        <v>75</v>
      </c>
      <c r="B52">
        <v>2014</v>
      </c>
      <c r="C52" t="s">
        <v>110</v>
      </c>
      <c r="D52" t="s">
        <v>122</v>
      </c>
      <c r="E52">
        <v>7.2</v>
      </c>
      <c r="F52">
        <v>484</v>
      </c>
      <c r="G52">
        <v>160</v>
      </c>
      <c r="H52" t="s">
        <v>140</v>
      </c>
      <c r="I52" t="s">
        <v>147</v>
      </c>
      <c r="J52" t="s">
        <v>148</v>
      </c>
      <c r="K52">
        <v>102</v>
      </c>
      <c r="L52" t="s">
        <v>157</v>
      </c>
      <c r="M52">
        <v>374.51</v>
      </c>
      <c r="N52" t="s">
        <v>159</v>
      </c>
      <c r="O52">
        <v>10</v>
      </c>
      <c r="P52" t="s">
        <v>163</v>
      </c>
      <c r="Q52">
        <v>9</v>
      </c>
      <c r="R52">
        <v>1420</v>
      </c>
      <c r="S52">
        <v>7</v>
      </c>
      <c r="T52" t="s">
        <v>169</v>
      </c>
      <c r="U52">
        <v>525</v>
      </c>
      <c r="V52" t="s">
        <v>168</v>
      </c>
      <c r="W52">
        <v>24.7</v>
      </c>
      <c r="X52">
        <v>0.97</v>
      </c>
      <c r="Y52">
        <v>38.82</v>
      </c>
    </row>
    <row r="53" spans="1:25" x14ac:dyDescent="0.3">
      <c r="A53" t="s">
        <v>76</v>
      </c>
      <c r="B53">
        <v>2014</v>
      </c>
      <c r="C53" t="s">
        <v>111</v>
      </c>
      <c r="D53" t="s">
        <v>122</v>
      </c>
      <c r="E53">
        <v>6.1</v>
      </c>
      <c r="F53">
        <v>55</v>
      </c>
      <c r="G53">
        <v>154</v>
      </c>
      <c r="H53" t="s">
        <v>140</v>
      </c>
      <c r="I53" t="s">
        <v>150</v>
      </c>
      <c r="J53" t="s">
        <v>148</v>
      </c>
      <c r="K53">
        <v>243</v>
      </c>
      <c r="L53" t="s">
        <v>157</v>
      </c>
      <c r="M53">
        <v>-77.37</v>
      </c>
      <c r="N53" t="s">
        <v>161</v>
      </c>
      <c r="O53">
        <v>2</v>
      </c>
      <c r="P53" t="s">
        <v>164</v>
      </c>
      <c r="Q53">
        <v>7.9</v>
      </c>
      <c r="R53">
        <v>13861</v>
      </c>
      <c r="S53">
        <v>6</v>
      </c>
      <c r="T53" t="s">
        <v>173</v>
      </c>
      <c r="U53">
        <v>1775</v>
      </c>
      <c r="V53" t="s">
        <v>167</v>
      </c>
      <c r="W53">
        <v>23.8</v>
      </c>
      <c r="X53">
        <v>1.87</v>
      </c>
      <c r="Y53">
        <v>20.46</v>
      </c>
    </row>
    <row r="54" spans="1:25" x14ac:dyDescent="0.3">
      <c r="A54" t="s">
        <v>77</v>
      </c>
      <c r="B54">
        <v>2015</v>
      </c>
      <c r="C54" t="s">
        <v>106</v>
      </c>
      <c r="D54" t="s">
        <v>122</v>
      </c>
      <c r="E54">
        <v>7.4</v>
      </c>
      <c r="F54">
        <v>78</v>
      </c>
      <c r="G54">
        <v>160</v>
      </c>
      <c r="H54" t="s">
        <v>137</v>
      </c>
      <c r="I54" t="s">
        <v>147</v>
      </c>
      <c r="J54" t="s">
        <v>152</v>
      </c>
      <c r="K54">
        <v>51</v>
      </c>
      <c r="L54" t="s">
        <v>153</v>
      </c>
      <c r="M54">
        <v>52.94</v>
      </c>
      <c r="N54" t="s">
        <v>158</v>
      </c>
      <c r="O54">
        <v>5</v>
      </c>
      <c r="P54" t="s">
        <v>163</v>
      </c>
      <c r="Q54">
        <v>7.1</v>
      </c>
      <c r="R54">
        <v>51380</v>
      </c>
      <c r="S54">
        <v>4</v>
      </c>
      <c r="T54" t="s">
        <v>172</v>
      </c>
      <c r="U54">
        <v>1147</v>
      </c>
      <c r="V54" t="s">
        <v>163</v>
      </c>
      <c r="W54">
        <v>15.52</v>
      </c>
      <c r="X54">
        <v>8.1999999999999993</v>
      </c>
      <c r="Y54">
        <v>38.28</v>
      </c>
    </row>
    <row r="55" spans="1:25" x14ac:dyDescent="0.3">
      <c r="A55" t="s">
        <v>78</v>
      </c>
      <c r="B55">
        <v>2019</v>
      </c>
      <c r="C55" t="s">
        <v>109</v>
      </c>
      <c r="D55" t="s">
        <v>122</v>
      </c>
      <c r="E55">
        <v>5.7</v>
      </c>
      <c r="F55">
        <v>342</v>
      </c>
      <c r="G55">
        <v>175</v>
      </c>
      <c r="H55" t="s">
        <v>143</v>
      </c>
      <c r="I55" t="s">
        <v>149</v>
      </c>
      <c r="J55" t="s">
        <v>148</v>
      </c>
      <c r="K55">
        <v>176</v>
      </c>
      <c r="L55" t="s">
        <v>157</v>
      </c>
      <c r="M55">
        <v>94.32</v>
      </c>
      <c r="N55" t="s">
        <v>160</v>
      </c>
      <c r="O55">
        <v>4</v>
      </c>
      <c r="P55" t="s">
        <v>168</v>
      </c>
      <c r="Q55">
        <v>8.8000000000000007</v>
      </c>
      <c r="R55">
        <v>85275</v>
      </c>
      <c r="S55">
        <v>6</v>
      </c>
      <c r="T55" t="s">
        <v>169</v>
      </c>
      <c r="U55">
        <v>558</v>
      </c>
      <c r="V55" t="s">
        <v>174</v>
      </c>
      <c r="W55">
        <v>28.65</v>
      </c>
      <c r="X55">
        <v>4.03</v>
      </c>
      <c r="Y55">
        <v>36.17</v>
      </c>
    </row>
    <row r="56" spans="1:25" x14ac:dyDescent="0.3">
      <c r="A56" t="s">
        <v>79</v>
      </c>
      <c r="B56">
        <v>2015</v>
      </c>
      <c r="C56" t="s">
        <v>114</v>
      </c>
      <c r="D56" t="s">
        <v>124</v>
      </c>
      <c r="E56">
        <v>8</v>
      </c>
      <c r="F56">
        <v>165</v>
      </c>
      <c r="G56">
        <v>173</v>
      </c>
      <c r="H56" t="s">
        <v>141</v>
      </c>
      <c r="I56" t="s">
        <v>147</v>
      </c>
      <c r="J56" t="s">
        <v>148</v>
      </c>
      <c r="K56">
        <v>196</v>
      </c>
      <c r="L56" t="s">
        <v>157</v>
      </c>
      <c r="M56">
        <v>-15.82</v>
      </c>
      <c r="N56" t="s">
        <v>160</v>
      </c>
      <c r="O56">
        <v>9</v>
      </c>
      <c r="P56" t="s">
        <v>164</v>
      </c>
      <c r="Q56">
        <v>5.0999999999999996</v>
      </c>
      <c r="R56">
        <v>35176</v>
      </c>
      <c r="S56">
        <v>4</v>
      </c>
      <c r="T56" t="s">
        <v>172</v>
      </c>
      <c r="U56">
        <v>1671</v>
      </c>
      <c r="V56" t="s">
        <v>168</v>
      </c>
      <c r="W56">
        <v>21.67</v>
      </c>
      <c r="X56">
        <v>4.0599999999999996</v>
      </c>
      <c r="Y56">
        <v>16.16</v>
      </c>
    </row>
    <row r="57" spans="1:25" x14ac:dyDescent="0.3">
      <c r="A57" t="s">
        <v>80</v>
      </c>
      <c r="B57">
        <v>2010</v>
      </c>
      <c r="C57" t="s">
        <v>109</v>
      </c>
      <c r="D57" t="s">
        <v>124</v>
      </c>
      <c r="E57">
        <v>7</v>
      </c>
      <c r="F57">
        <v>33</v>
      </c>
      <c r="G57">
        <v>120</v>
      </c>
      <c r="H57" t="s">
        <v>140</v>
      </c>
      <c r="I57" t="s">
        <v>150</v>
      </c>
      <c r="J57" t="s">
        <v>148</v>
      </c>
      <c r="K57">
        <v>125</v>
      </c>
      <c r="L57" t="s">
        <v>156</v>
      </c>
      <c r="M57">
        <v>-73.599999999999994</v>
      </c>
      <c r="N57" t="s">
        <v>159</v>
      </c>
      <c r="O57">
        <v>1</v>
      </c>
      <c r="P57" t="s">
        <v>163</v>
      </c>
      <c r="Q57">
        <v>8.6</v>
      </c>
      <c r="R57">
        <v>94834</v>
      </c>
      <c r="S57">
        <v>3</v>
      </c>
      <c r="T57" t="s">
        <v>173</v>
      </c>
      <c r="U57">
        <v>2137</v>
      </c>
      <c r="V57" t="s">
        <v>163</v>
      </c>
      <c r="W57">
        <v>16.45</v>
      </c>
      <c r="X57">
        <v>7.18</v>
      </c>
      <c r="Y57">
        <v>32.46</v>
      </c>
    </row>
    <row r="58" spans="1:25" x14ac:dyDescent="0.3">
      <c r="A58" t="s">
        <v>81</v>
      </c>
      <c r="B58">
        <v>2011</v>
      </c>
      <c r="C58" t="s">
        <v>103</v>
      </c>
      <c r="D58" t="s">
        <v>117</v>
      </c>
      <c r="E58">
        <v>6.6</v>
      </c>
      <c r="F58">
        <v>80</v>
      </c>
      <c r="G58">
        <v>145</v>
      </c>
      <c r="H58" t="s">
        <v>146</v>
      </c>
      <c r="I58" t="s">
        <v>147</v>
      </c>
      <c r="J58" t="s">
        <v>151</v>
      </c>
      <c r="K58">
        <v>45</v>
      </c>
      <c r="L58" t="s">
        <v>157</v>
      </c>
      <c r="M58">
        <v>77.78</v>
      </c>
      <c r="N58" t="s">
        <v>159</v>
      </c>
      <c r="O58">
        <v>2</v>
      </c>
      <c r="P58" t="s">
        <v>164</v>
      </c>
      <c r="Q58">
        <v>9.1999999999999993</v>
      </c>
      <c r="R58">
        <v>75155</v>
      </c>
      <c r="S58">
        <v>6</v>
      </c>
      <c r="T58" t="s">
        <v>173</v>
      </c>
      <c r="U58">
        <v>1144</v>
      </c>
      <c r="V58" t="s">
        <v>167</v>
      </c>
      <c r="W58">
        <v>22.51</v>
      </c>
      <c r="X58">
        <v>9</v>
      </c>
      <c r="Y58">
        <v>26.43</v>
      </c>
    </row>
    <row r="59" spans="1:25" x14ac:dyDescent="0.3">
      <c r="A59" t="s">
        <v>82</v>
      </c>
      <c r="B59">
        <v>2020</v>
      </c>
      <c r="C59" t="s">
        <v>109</v>
      </c>
      <c r="D59" t="s">
        <v>122</v>
      </c>
      <c r="E59">
        <v>7.4</v>
      </c>
      <c r="F59">
        <v>176</v>
      </c>
      <c r="G59">
        <v>155</v>
      </c>
      <c r="H59" t="s">
        <v>146</v>
      </c>
      <c r="I59" t="s">
        <v>148</v>
      </c>
      <c r="J59" t="s">
        <v>152</v>
      </c>
      <c r="K59">
        <v>90</v>
      </c>
      <c r="L59" t="s">
        <v>155</v>
      </c>
      <c r="M59">
        <v>95.56</v>
      </c>
      <c r="N59" t="s">
        <v>158</v>
      </c>
      <c r="O59">
        <v>7</v>
      </c>
      <c r="P59" t="s">
        <v>163</v>
      </c>
      <c r="Q59">
        <v>6.4</v>
      </c>
      <c r="R59">
        <v>79942</v>
      </c>
      <c r="S59">
        <v>4</v>
      </c>
      <c r="T59" t="s">
        <v>173</v>
      </c>
      <c r="U59">
        <v>1568</v>
      </c>
      <c r="V59" t="s">
        <v>165</v>
      </c>
      <c r="W59">
        <v>4.2</v>
      </c>
      <c r="X59">
        <v>4.03</v>
      </c>
      <c r="Y59">
        <v>8.74</v>
      </c>
    </row>
    <row r="60" spans="1:25" x14ac:dyDescent="0.3">
      <c r="A60" t="s">
        <v>83</v>
      </c>
      <c r="B60">
        <v>2021</v>
      </c>
      <c r="C60" t="s">
        <v>112</v>
      </c>
      <c r="D60" t="s">
        <v>119</v>
      </c>
      <c r="E60">
        <v>6.5</v>
      </c>
      <c r="F60">
        <v>222</v>
      </c>
      <c r="G60">
        <v>126</v>
      </c>
      <c r="H60" t="s">
        <v>142</v>
      </c>
      <c r="I60" t="s">
        <v>149</v>
      </c>
      <c r="J60" t="s">
        <v>151</v>
      </c>
      <c r="K60">
        <v>184</v>
      </c>
      <c r="L60" t="s">
        <v>156</v>
      </c>
      <c r="M60">
        <v>20.65</v>
      </c>
      <c r="N60" t="s">
        <v>159</v>
      </c>
      <c r="O60">
        <v>5</v>
      </c>
      <c r="P60" t="s">
        <v>168</v>
      </c>
      <c r="Q60">
        <v>5.5</v>
      </c>
      <c r="R60">
        <v>18302</v>
      </c>
      <c r="S60">
        <v>5</v>
      </c>
      <c r="T60" t="s">
        <v>171</v>
      </c>
      <c r="U60">
        <v>2125</v>
      </c>
      <c r="V60" t="s">
        <v>163</v>
      </c>
      <c r="W60">
        <v>26.38</v>
      </c>
      <c r="X60">
        <v>9.1999999999999993</v>
      </c>
      <c r="Y60">
        <v>42.56</v>
      </c>
    </row>
    <row r="61" spans="1:25" x14ac:dyDescent="0.3">
      <c r="A61" t="s">
        <v>84</v>
      </c>
      <c r="B61">
        <v>2018</v>
      </c>
      <c r="C61" t="s">
        <v>106</v>
      </c>
      <c r="D61" t="s">
        <v>126</v>
      </c>
      <c r="E61">
        <v>6.3</v>
      </c>
      <c r="F61">
        <v>522</v>
      </c>
      <c r="G61">
        <v>178</v>
      </c>
      <c r="H61" t="s">
        <v>144</v>
      </c>
      <c r="I61" t="s">
        <v>147</v>
      </c>
      <c r="J61" t="s">
        <v>148</v>
      </c>
      <c r="K61">
        <v>237</v>
      </c>
      <c r="L61" t="s">
        <v>157</v>
      </c>
      <c r="M61">
        <v>120.25</v>
      </c>
      <c r="N61" t="s">
        <v>162</v>
      </c>
      <c r="O61">
        <v>4</v>
      </c>
      <c r="P61" t="s">
        <v>163</v>
      </c>
      <c r="Q61">
        <v>5.4</v>
      </c>
      <c r="R61">
        <v>36478</v>
      </c>
      <c r="S61">
        <v>7</v>
      </c>
      <c r="T61" t="s">
        <v>173</v>
      </c>
      <c r="U61">
        <v>1033</v>
      </c>
      <c r="V61" t="s">
        <v>165</v>
      </c>
      <c r="W61">
        <v>21.48</v>
      </c>
      <c r="X61">
        <v>4.1399999999999997</v>
      </c>
      <c r="Y61">
        <v>14.89</v>
      </c>
    </row>
    <row r="62" spans="1:25" x14ac:dyDescent="0.3">
      <c r="A62" t="s">
        <v>85</v>
      </c>
      <c r="B62">
        <v>2022</v>
      </c>
      <c r="C62" t="s">
        <v>109</v>
      </c>
      <c r="D62" t="s">
        <v>118</v>
      </c>
      <c r="E62">
        <v>5.4</v>
      </c>
      <c r="F62">
        <v>526</v>
      </c>
      <c r="G62">
        <v>180</v>
      </c>
      <c r="H62" t="s">
        <v>140</v>
      </c>
      <c r="I62" t="s">
        <v>147</v>
      </c>
      <c r="J62" t="s">
        <v>148</v>
      </c>
      <c r="K62">
        <v>213</v>
      </c>
      <c r="L62" t="s">
        <v>155</v>
      </c>
      <c r="M62">
        <v>146.94999999999999</v>
      </c>
      <c r="N62" t="s">
        <v>162</v>
      </c>
      <c r="O62">
        <v>6</v>
      </c>
      <c r="P62" t="s">
        <v>165</v>
      </c>
      <c r="Q62">
        <v>5.6</v>
      </c>
      <c r="R62">
        <v>86075</v>
      </c>
      <c r="S62">
        <v>7</v>
      </c>
      <c r="T62" t="s">
        <v>169</v>
      </c>
      <c r="U62">
        <v>898</v>
      </c>
      <c r="V62" t="s">
        <v>163</v>
      </c>
      <c r="W62">
        <v>9.42</v>
      </c>
      <c r="X62">
        <v>9.8800000000000008</v>
      </c>
      <c r="Y62">
        <v>16.82</v>
      </c>
    </row>
    <row r="63" spans="1:25" x14ac:dyDescent="0.3">
      <c r="A63" t="s">
        <v>86</v>
      </c>
      <c r="B63">
        <v>2024</v>
      </c>
      <c r="C63" t="s">
        <v>103</v>
      </c>
      <c r="D63" t="s">
        <v>119</v>
      </c>
      <c r="E63">
        <v>6.3</v>
      </c>
      <c r="F63">
        <v>481</v>
      </c>
      <c r="G63">
        <v>123</v>
      </c>
      <c r="H63" t="s">
        <v>144</v>
      </c>
      <c r="I63" t="s">
        <v>147</v>
      </c>
      <c r="J63" t="s">
        <v>148</v>
      </c>
      <c r="K63">
        <v>74</v>
      </c>
      <c r="L63" t="s">
        <v>157</v>
      </c>
      <c r="M63">
        <v>550</v>
      </c>
      <c r="N63" t="s">
        <v>160</v>
      </c>
      <c r="O63">
        <v>6</v>
      </c>
      <c r="P63" t="s">
        <v>164</v>
      </c>
      <c r="Q63">
        <v>7.5</v>
      </c>
      <c r="R63">
        <v>30204</v>
      </c>
      <c r="S63">
        <v>4</v>
      </c>
      <c r="T63" t="s">
        <v>172</v>
      </c>
      <c r="U63">
        <v>1487</v>
      </c>
      <c r="V63" t="s">
        <v>174</v>
      </c>
      <c r="W63">
        <v>27.31</v>
      </c>
      <c r="X63">
        <v>9.58</v>
      </c>
      <c r="Y63">
        <v>30.9</v>
      </c>
    </row>
    <row r="64" spans="1:25" x14ac:dyDescent="0.3">
      <c r="A64" t="s">
        <v>87</v>
      </c>
      <c r="B64">
        <v>2011</v>
      </c>
      <c r="C64" t="s">
        <v>103</v>
      </c>
      <c r="D64" t="s">
        <v>122</v>
      </c>
      <c r="E64">
        <v>5.9</v>
      </c>
      <c r="F64">
        <v>596</v>
      </c>
      <c r="G64">
        <v>130</v>
      </c>
      <c r="H64" t="s">
        <v>142</v>
      </c>
      <c r="I64" t="s">
        <v>150</v>
      </c>
      <c r="J64" t="s">
        <v>152</v>
      </c>
      <c r="K64">
        <v>217</v>
      </c>
      <c r="L64" t="s">
        <v>156</v>
      </c>
      <c r="M64">
        <v>174.65</v>
      </c>
      <c r="N64" t="s">
        <v>162</v>
      </c>
      <c r="O64">
        <v>0</v>
      </c>
      <c r="P64" t="s">
        <v>165</v>
      </c>
      <c r="Q64">
        <v>8.5</v>
      </c>
      <c r="R64">
        <v>97856</v>
      </c>
      <c r="S64">
        <v>3</v>
      </c>
      <c r="T64" t="s">
        <v>171</v>
      </c>
      <c r="U64">
        <v>1803</v>
      </c>
      <c r="V64" t="s">
        <v>174</v>
      </c>
      <c r="W64">
        <v>14.59</v>
      </c>
      <c r="X64">
        <v>9.85</v>
      </c>
      <c r="Y64">
        <v>39.47</v>
      </c>
    </row>
    <row r="65" spans="1:25" x14ac:dyDescent="0.3">
      <c r="A65" t="s">
        <v>88</v>
      </c>
      <c r="B65">
        <v>2022</v>
      </c>
      <c r="C65" t="s">
        <v>109</v>
      </c>
      <c r="D65" t="s">
        <v>126</v>
      </c>
      <c r="E65">
        <v>5.7</v>
      </c>
      <c r="F65">
        <v>408</v>
      </c>
      <c r="G65">
        <v>159</v>
      </c>
      <c r="H65" t="s">
        <v>142</v>
      </c>
      <c r="I65" t="s">
        <v>149</v>
      </c>
      <c r="J65" t="s">
        <v>151</v>
      </c>
      <c r="K65">
        <v>159</v>
      </c>
      <c r="L65" t="s">
        <v>155</v>
      </c>
      <c r="M65">
        <v>156.6</v>
      </c>
      <c r="N65" t="s">
        <v>158</v>
      </c>
      <c r="O65">
        <v>7</v>
      </c>
      <c r="P65" t="s">
        <v>166</v>
      </c>
      <c r="Q65">
        <v>7.4</v>
      </c>
      <c r="R65">
        <v>36044</v>
      </c>
      <c r="S65">
        <v>5</v>
      </c>
      <c r="T65" t="s">
        <v>172</v>
      </c>
      <c r="U65">
        <v>1511</v>
      </c>
      <c r="V65" t="s">
        <v>165</v>
      </c>
      <c r="W65">
        <v>18.100000000000001</v>
      </c>
      <c r="X65">
        <v>8.84</v>
      </c>
      <c r="Y65">
        <v>28.86</v>
      </c>
    </row>
    <row r="66" spans="1:25" x14ac:dyDescent="0.3">
      <c r="A66" t="s">
        <v>89</v>
      </c>
      <c r="B66">
        <v>2013</v>
      </c>
      <c r="C66" t="s">
        <v>113</v>
      </c>
      <c r="D66" t="s">
        <v>118</v>
      </c>
      <c r="E66">
        <v>6.6</v>
      </c>
      <c r="F66">
        <v>70</v>
      </c>
      <c r="G66">
        <v>158</v>
      </c>
      <c r="H66" t="s">
        <v>137</v>
      </c>
      <c r="I66" t="s">
        <v>148</v>
      </c>
      <c r="J66" t="s">
        <v>152</v>
      </c>
      <c r="K66">
        <v>83</v>
      </c>
      <c r="L66" t="s">
        <v>154</v>
      </c>
      <c r="M66">
        <v>-15.66</v>
      </c>
      <c r="N66" t="s">
        <v>161</v>
      </c>
      <c r="O66">
        <v>9</v>
      </c>
      <c r="P66" t="s">
        <v>167</v>
      </c>
      <c r="Q66">
        <v>7.6</v>
      </c>
      <c r="R66">
        <v>4108</v>
      </c>
      <c r="S66">
        <v>3</v>
      </c>
      <c r="T66" t="s">
        <v>171</v>
      </c>
      <c r="U66">
        <v>2451</v>
      </c>
      <c r="V66" t="s">
        <v>167</v>
      </c>
      <c r="W66">
        <v>3.2</v>
      </c>
      <c r="X66">
        <v>8.17</v>
      </c>
      <c r="Y66">
        <v>45.97</v>
      </c>
    </row>
    <row r="67" spans="1:25" x14ac:dyDescent="0.3">
      <c r="A67" t="s">
        <v>90</v>
      </c>
      <c r="B67">
        <v>2017</v>
      </c>
      <c r="C67" t="s">
        <v>113</v>
      </c>
      <c r="D67" t="s">
        <v>124</v>
      </c>
      <c r="E67">
        <v>7.6</v>
      </c>
      <c r="F67">
        <v>449</v>
      </c>
      <c r="G67">
        <v>174</v>
      </c>
      <c r="H67" t="s">
        <v>143</v>
      </c>
      <c r="I67" t="s">
        <v>150</v>
      </c>
      <c r="J67" t="s">
        <v>148</v>
      </c>
      <c r="K67">
        <v>219</v>
      </c>
      <c r="L67" t="s">
        <v>155</v>
      </c>
      <c r="M67">
        <v>105.02</v>
      </c>
      <c r="N67" t="s">
        <v>160</v>
      </c>
      <c r="O67">
        <v>1</v>
      </c>
      <c r="P67" t="s">
        <v>163</v>
      </c>
      <c r="Q67">
        <v>6.3</v>
      </c>
      <c r="R67">
        <v>83887</v>
      </c>
      <c r="S67">
        <v>5</v>
      </c>
      <c r="T67" t="s">
        <v>169</v>
      </c>
      <c r="U67">
        <v>620</v>
      </c>
      <c r="V67" t="s">
        <v>163</v>
      </c>
      <c r="W67">
        <v>8.0500000000000007</v>
      </c>
      <c r="X67">
        <v>4.63</v>
      </c>
      <c r="Y67">
        <v>16.010000000000002</v>
      </c>
    </row>
    <row r="68" spans="1:25" x14ac:dyDescent="0.3">
      <c r="A68" t="s">
        <v>91</v>
      </c>
      <c r="B68">
        <v>2011</v>
      </c>
      <c r="C68" t="s">
        <v>112</v>
      </c>
      <c r="D68" t="s">
        <v>117</v>
      </c>
      <c r="E68">
        <v>6.3</v>
      </c>
      <c r="F68">
        <v>591</v>
      </c>
      <c r="G68">
        <v>141</v>
      </c>
      <c r="H68" t="s">
        <v>140</v>
      </c>
      <c r="I68" t="s">
        <v>147</v>
      </c>
      <c r="J68" t="s">
        <v>151</v>
      </c>
      <c r="K68">
        <v>221</v>
      </c>
      <c r="L68" t="s">
        <v>154</v>
      </c>
      <c r="M68">
        <v>167.42</v>
      </c>
      <c r="N68" t="s">
        <v>159</v>
      </c>
      <c r="O68">
        <v>4</v>
      </c>
      <c r="P68" t="s">
        <v>164</v>
      </c>
      <c r="Q68">
        <v>9.4</v>
      </c>
      <c r="R68">
        <v>29515</v>
      </c>
      <c r="S68">
        <v>5</v>
      </c>
      <c r="T68" t="s">
        <v>172</v>
      </c>
      <c r="U68">
        <v>1095</v>
      </c>
      <c r="V68" t="s">
        <v>167</v>
      </c>
      <c r="W68">
        <v>7.5</v>
      </c>
      <c r="X68">
        <v>6.68</v>
      </c>
      <c r="Y68">
        <v>49.87</v>
      </c>
    </row>
    <row r="69" spans="1:25" x14ac:dyDescent="0.3">
      <c r="A69" t="s">
        <v>92</v>
      </c>
      <c r="B69">
        <v>2019</v>
      </c>
      <c r="C69" t="s">
        <v>115</v>
      </c>
      <c r="D69" t="s">
        <v>122</v>
      </c>
      <c r="E69">
        <v>8.6</v>
      </c>
      <c r="F69">
        <v>115</v>
      </c>
      <c r="G69">
        <v>172</v>
      </c>
      <c r="H69" t="s">
        <v>146</v>
      </c>
      <c r="I69" t="s">
        <v>148</v>
      </c>
      <c r="J69" t="s">
        <v>152</v>
      </c>
      <c r="K69">
        <v>129</v>
      </c>
      <c r="L69" t="s">
        <v>155</v>
      </c>
      <c r="M69">
        <v>-10.85</v>
      </c>
      <c r="N69" t="s">
        <v>161</v>
      </c>
      <c r="O69">
        <v>1</v>
      </c>
      <c r="P69" t="s">
        <v>164</v>
      </c>
      <c r="Q69">
        <v>7.1</v>
      </c>
      <c r="R69">
        <v>61504</v>
      </c>
      <c r="S69">
        <v>3</v>
      </c>
      <c r="T69" t="s">
        <v>171</v>
      </c>
      <c r="U69">
        <v>2077</v>
      </c>
      <c r="V69" t="s">
        <v>165</v>
      </c>
      <c r="W69">
        <v>14.89</v>
      </c>
      <c r="X69">
        <v>3.45</v>
      </c>
      <c r="Y69">
        <v>49.96</v>
      </c>
    </row>
    <row r="70" spans="1:25" x14ac:dyDescent="0.3">
      <c r="A70" t="s">
        <v>93</v>
      </c>
      <c r="B70">
        <v>2021</v>
      </c>
      <c r="C70" t="s">
        <v>113</v>
      </c>
      <c r="D70" t="s">
        <v>122</v>
      </c>
      <c r="E70">
        <v>7.1</v>
      </c>
      <c r="F70">
        <v>489</v>
      </c>
      <c r="G70">
        <v>128</v>
      </c>
      <c r="H70" t="s">
        <v>145</v>
      </c>
      <c r="I70" t="s">
        <v>148</v>
      </c>
      <c r="J70" t="s">
        <v>148</v>
      </c>
      <c r="K70">
        <v>103</v>
      </c>
      <c r="L70" t="s">
        <v>154</v>
      </c>
      <c r="M70">
        <v>374.76</v>
      </c>
      <c r="N70" t="s">
        <v>158</v>
      </c>
      <c r="O70">
        <v>2</v>
      </c>
      <c r="P70" t="s">
        <v>168</v>
      </c>
      <c r="Q70">
        <v>6.8</v>
      </c>
      <c r="R70">
        <v>74475</v>
      </c>
      <c r="S70">
        <v>5</v>
      </c>
      <c r="T70" t="s">
        <v>172</v>
      </c>
      <c r="U70">
        <v>325</v>
      </c>
      <c r="V70" t="s">
        <v>168</v>
      </c>
      <c r="W70">
        <v>10.1</v>
      </c>
      <c r="X70">
        <v>8.33</v>
      </c>
      <c r="Y70">
        <v>42.09</v>
      </c>
    </row>
    <row r="71" spans="1:25" x14ac:dyDescent="0.3">
      <c r="A71" t="s">
        <v>94</v>
      </c>
      <c r="B71">
        <v>2011</v>
      </c>
      <c r="C71" t="s">
        <v>103</v>
      </c>
      <c r="D71" t="s">
        <v>121</v>
      </c>
      <c r="E71">
        <v>5.4</v>
      </c>
      <c r="F71">
        <v>344</v>
      </c>
      <c r="G71">
        <v>130</v>
      </c>
      <c r="H71" t="s">
        <v>143</v>
      </c>
      <c r="I71" t="s">
        <v>149</v>
      </c>
      <c r="J71" t="s">
        <v>148</v>
      </c>
      <c r="K71">
        <v>76</v>
      </c>
      <c r="L71" t="s">
        <v>157</v>
      </c>
      <c r="M71">
        <v>352.63</v>
      </c>
      <c r="N71" t="s">
        <v>158</v>
      </c>
      <c r="O71">
        <v>2</v>
      </c>
      <c r="P71" t="s">
        <v>168</v>
      </c>
      <c r="Q71">
        <v>8.8000000000000007</v>
      </c>
      <c r="R71">
        <v>94363</v>
      </c>
      <c r="S71">
        <v>4</v>
      </c>
      <c r="T71" t="s">
        <v>173</v>
      </c>
      <c r="U71">
        <v>915</v>
      </c>
      <c r="V71" t="s">
        <v>174</v>
      </c>
      <c r="W71">
        <v>4.83</v>
      </c>
      <c r="X71">
        <v>5.41</v>
      </c>
      <c r="Y71">
        <v>21.75</v>
      </c>
    </row>
    <row r="72" spans="1:25" x14ac:dyDescent="0.3">
      <c r="A72" t="s">
        <v>95</v>
      </c>
      <c r="B72">
        <v>2011</v>
      </c>
      <c r="C72" t="s">
        <v>116</v>
      </c>
      <c r="D72" t="s">
        <v>122</v>
      </c>
      <c r="E72">
        <v>8.6</v>
      </c>
      <c r="F72">
        <v>347</v>
      </c>
      <c r="G72">
        <v>168</v>
      </c>
      <c r="H72" t="s">
        <v>143</v>
      </c>
      <c r="I72" t="s">
        <v>148</v>
      </c>
      <c r="J72" t="s">
        <v>151</v>
      </c>
      <c r="K72">
        <v>62</v>
      </c>
      <c r="L72" t="s">
        <v>157</v>
      </c>
      <c r="M72">
        <v>459.68</v>
      </c>
      <c r="N72" t="s">
        <v>160</v>
      </c>
      <c r="O72">
        <v>5</v>
      </c>
      <c r="P72" t="s">
        <v>168</v>
      </c>
      <c r="Q72">
        <v>8.6</v>
      </c>
      <c r="R72">
        <v>54495</v>
      </c>
      <c r="S72">
        <v>4</v>
      </c>
      <c r="T72" t="s">
        <v>173</v>
      </c>
      <c r="U72">
        <v>1944</v>
      </c>
      <c r="V72" t="s">
        <v>174</v>
      </c>
      <c r="W72">
        <v>28.48</v>
      </c>
      <c r="X72">
        <v>9.9700000000000006</v>
      </c>
      <c r="Y72">
        <v>2.88</v>
      </c>
    </row>
    <row r="73" spans="1:25" x14ac:dyDescent="0.3">
      <c r="A73" t="s">
        <v>96</v>
      </c>
      <c r="B73">
        <v>2018</v>
      </c>
      <c r="C73" t="s">
        <v>114</v>
      </c>
      <c r="D73" t="s">
        <v>119</v>
      </c>
      <c r="E73">
        <v>7.1</v>
      </c>
      <c r="F73">
        <v>316</v>
      </c>
      <c r="G73">
        <v>131</v>
      </c>
      <c r="H73" t="s">
        <v>145</v>
      </c>
      <c r="I73" t="s">
        <v>148</v>
      </c>
      <c r="J73" t="s">
        <v>151</v>
      </c>
      <c r="K73">
        <v>95</v>
      </c>
      <c r="L73" t="s">
        <v>157</v>
      </c>
      <c r="M73">
        <v>232.63</v>
      </c>
      <c r="N73" t="s">
        <v>159</v>
      </c>
      <c r="O73">
        <v>1</v>
      </c>
      <c r="P73" t="s">
        <v>163</v>
      </c>
      <c r="Q73">
        <v>5.7</v>
      </c>
      <c r="R73">
        <v>35884</v>
      </c>
      <c r="S73">
        <v>3</v>
      </c>
      <c r="T73" t="s">
        <v>170</v>
      </c>
      <c r="U73">
        <v>2238</v>
      </c>
      <c r="V73" t="s">
        <v>174</v>
      </c>
      <c r="W73">
        <v>29.88</v>
      </c>
      <c r="X73">
        <v>2.5</v>
      </c>
      <c r="Y73">
        <v>38.549999999999997</v>
      </c>
    </row>
    <row r="74" spans="1:25" x14ac:dyDescent="0.3">
      <c r="A74" t="s">
        <v>97</v>
      </c>
      <c r="B74">
        <v>2020</v>
      </c>
      <c r="C74" t="s">
        <v>113</v>
      </c>
      <c r="D74" t="s">
        <v>121</v>
      </c>
      <c r="E74">
        <v>8.3000000000000007</v>
      </c>
      <c r="F74">
        <v>46</v>
      </c>
      <c r="G74">
        <v>165</v>
      </c>
      <c r="H74" t="s">
        <v>141</v>
      </c>
      <c r="I74" t="s">
        <v>147</v>
      </c>
      <c r="J74" t="s">
        <v>151</v>
      </c>
      <c r="K74">
        <v>210</v>
      </c>
      <c r="L74" t="s">
        <v>154</v>
      </c>
      <c r="M74">
        <v>-78.099999999999994</v>
      </c>
      <c r="N74" t="s">
        <v>159</v>
      </c>
      <c r="O74">
        <v>9</v>
      </c>
      <c r="P74" t="s">
        <v>165</v>
      </c>
      <c r="Q74">
        <v>7.5</v>
      </c>
      <c r="R74">
        <v>49614</v>
      </c>
      <c r="S74">
        <v>7</v>
      </c>
      <c r="T74" t="s">
        <v>169</v>
      </c>
      <c r="U74">
        <v>623</v>
      </c>
      <c r="V74" t="s">
        <v>167</v>
      </c>
      <c r="W74">
        <v>6.65</v>
      </c>
      <c r="X74">
        <v>7.71</v>
      </c>
      <c r="Y74">
        <v>33.979999999999997</v>
      </c>
    </row>
    <row r="75" spans="1:25" x14ac:dyDescent="0.3">
      <c r="A75" t="s">
        <v>98</v>
      </c>
      <c r="B75">
        <v>2018</v>
      </c>
      <c r="C75" t="s">
        <v>114</v>
      </c>
      <c r="D75" t="s">
        <v>118</v>
      </c>
      <c r="E75">
        <v>8.6999999999999993</v>
      </c>
      <c r="F75">
        <v>497</v>
      </c>
      <c r="G75">
        <v>158</v>
      </c>
      <c r="H75" t="s">
        <v>146</v>
      </c>
      <c r="I75" t="s">
        <v>147</v>
      </c>
      <c r="J75" t="s">
        <v>148</v>
      </c>
      <c r="K75">
        <v>82</v>
      </c>
      <c r="L75" t="s">
        <v>157</v>
      </c>
      <c r="M75">
        <v>506.1</v>
      </c>
      <c r="N75" t="s">
        <v>158</v>
      </c>
      <c r="O75">
        <v>9</v>
      </c>
      <c r="P75" t="s">
        <v>168</v>
      </c>
      <c r="Q75">
        <v>7.6</v>
      </c>
      <c r="R75">
        <v>67739</v>
      </c>
      <c r="S75">
        <v>7</v>
      </c>
      <c r="T75" t="s">
        <v>170</v>
      </c>
      <c r="U75">
        <v>800</v>
      </c>
      <c r="V75" t="s">
        <v>165</v>
      </c>
      <c r="W75">
        <v>19.39</v>
      </c>
      <c r="X75">
        <v>7.99</v>
      </c>
      <c r="Y75">
        <v>14.2</v>
      </c>
    </row>
    <row r="76" spans="1:25" x14ac:dyDescent="0.3">
      <c r="A76" t="s">
        <v>45</v>
      </c>
      <c r="B76">
        <v>2016</v>
      </c>
      <c r="C76" t="s">
        <v>109</v>
      </c>
      <c r="D76" t="s">
        <v>121</v>
      </c>
      <c r="E76">
        <v>6.9</v>
      </c>
      <c r="F76">
        <v>460</v>
      </c>
      <c r="G76">
        <v>172</v>
      </c>
      <c r="H76" t="s">
        <v>140</v>
      </c>
      <c r="I76" t="s">
        <v>148</v>
      </c>
      <c r="J76" t="s">
        <v>148</v>
      </c>
      <c r="K76">
        <v>167</v>
      </c>
      <c r="L76" t="s">
        <v>155</v>
      </c>
      <c r="M76">
        <v>175.45</v>
      </c>
      <c r="N76" t="s">
        <v>160</v>
      </c>
      <c r="O76">
        <v>0</v>
      </c>
      <c r="P76" t="s">
        <v>167</v>
      </c>
      <c r="Q76">
        <v>6.8</v>
      </c>
      <c r="R76">
        <v>11891</v>
      </c>
      <c r="S76">
        <v>6</v>
      </c>
      <c r="T76" t="s">
        <v>171</v>
      </c>
      <c r="U76">
        <v>1311</v>
      </c>
      <c r="V76" t="s">
        <v>167</v>
      </c>
      <c r="W76">
        <v>23.7</v>
      </c>
      <c r="X76">
        <v>4.3</v>
      </c>
      <c r="Y76">
        <v>33.06</v>
      </c>
    </row>
    <row r="77" spans="1:25" x14ac:dyDescent="0.3">
      <c r="A77" t="s">
        <v>46</v>
      </c>
      <c r="B77">
        <v>2014</v>
      </c>
      <c r="C77" t="s">
        <v>110</v>
      </c>
      <c r="D77" t="s">
        <v>118</v>
      </c>
      <c r="E77">
        <v>8.6999999999999993</v>
      </c>
      <c r="F77">
        <v>167</v>
      </c>
      <c r="G77">
        <v>168</v>
      </c>
      <c r="H77" t="s">
        <v>145</v>
      </c>
      <c r="I77" t="s">
        <v>148</v>
      </c>
      <c r="J77" t="s">
        <v>151</v>
      </c>
      <c r="K77">
        <v>125</v>
      </c>
      <c r="L77" t="s">
        <v>156</v>
      </c>
      <c r="M77">
        <v>33.6</v>
      </c>
      <c r="N77" t="s">
        <v>160</v>
      </c>
      <c r="O77">
        <v>5</v>
      </c>
      <c r="P77" t="s">
        <v>166</v>
      </c>
      <c r="Q77">
        <v>9.1999999999999993</v>
      </c>
      <c r="R77">
        <v>21228</v>
      </c>
      <c r="S77">
        <v>4</v>
      </c>
      <c r="T77" t="s">
        <v>169</v>
      </c>
      <c r="U77">
        <v>1381</v>
      </c>
      <c r="V77" t="s">
        <v>167</v>
      </c>
      <c r="W77">
        <v>14.31</v>
      </c>
      <c r="X77">
        <v>4.62</v>
      </c>
      <c r="Y77">
        <v>26.85</v>
      </c>
    </row>
    <row r="78" spans="1:25" x14ac:dyDescent="0.3">
      <c r="A78" t="s">
        <v>47</v>
      </c>
      <c r="B78">
        <v>2012</v>
      </c>
      <c r="C78" t="s">
        <v>106</v>
      </c>
      <c r="D78" t="s">
        <v>124</v>
      </c>
      <c r="E78">
        <v>6.1</v>
      </c>
      <c r="F78">
        <v>223</v>
      </c>
      <c r="G78">
        <v>156</v>
      </c>
      <c r="H78" t="s">
        <v>143</v>
      </c>
      <c r="I78" t="s">
        <v>147</v>
      </c>
      <c r="J78" t="s">
        <v>152</v>
      </c>
      <c r="K78">
        <v>167</v>
      </c>
      <c r="L78" t="s">
        <v>157</v>
      </c>
      <c r="M78">
        <v>33.53</v>
      </c>
      <c r="N78" t="s">
        <v>160</v>
      </c>
      <c r="O78">
        <v>0</v>
      </c>
      <c r="P78" t="s">
        <v>166</v>
      </c>
      <c r="Q78">
        <v>5.7</v>
      </c>
      <c r="R78">
        <v>95582</v>
      </c>
      <c r="S78">
        <v>5</v>
      </c>
      <c r="T78" t="s">
        <v>170</v>
      </c>
      <c r="U78">
        <v>2419</v>
      </c>
      <c r="V78" t="s">
        <v>168</v>
      </c>
      <c r="W78">
        <v>12.43</v>
      </c>
      <c r="X78">
        <v>2.25</v>
      </c>
      <c r="Y78">
        <v>21.38</v>
      </c>
    </row>
    <row r="79" spans="1:25" x14ac:dyDescent="0.3">
      <c r="A79" t="s">
        <v>48</v>
      </c>
      <c r="B79">
        <v>2024</v>
      </c>
      <c r="C79" t="s">
        <v>112</v>
      </c>
      <c r="D79" t="s">
        <v>121</v>
      </c>
      <c r="E79">
        <v>7.4</v>
      </c>
      <c r="F79">
        <v>70</v>
      </c>
      <c r="G79">
        <v>134</v>
      </c>
      <c r="H79" t="s">
        <v>144</v>
      </c>
      <c r="I79" t="s">
        <v>148</v>
      </c>
      <c r="J79" t="s">
        <v>148</v>
      </c>
      <c r="K79">
        <v>193</v>
      </c>
      <c r="L79" t="s">
        <v>154</v>
      </c>
      <c r="M79">
        <v>-63.73</v>
      </c>
      <c r="N79" t="s">
        <v>159</v>
      </c>
      <c r="O79">
        <v>5</v>
      </c>
      <c r="P79" t="s">
        <v>163</v>
      </c>
      <c r="Q79">
        <v>7.9</v>
      </c>
      <c r="R79">
        <v>64779</v>
      </c>
      <c r="S79">
        <v>5</v>
      </c>
      <c r="T79" t="s">
        <v>173</v>
      </c>
      <c r="U79">
        <v>752</v>
      </c>
      <c r="V79" t="s">
        <v>165</v>
      </c>
      <c r="W79">
        <v>4.5599999999999996</v>
      </c>
      <c r="X79">
        <v>3.95</v>
      </c>
      <c r="Y79">
        <v>32.979999999999997</v>
      </c>
    </row>
    <row r="80" spans="1:25" x14ac:dyDescent="0.3">
      <c r="A80" t="s">
        <v>49</v>
      </c>
      <c r="B80">
        <v>2019</v>
      </c>
      <c r="C80" t="s">
        <v>106</v>
      </c>
      <c r="D80" t="s">
        <v>124</v>
      </c>
      <c r="E80">
        <v>8.1</v>
      </c>
      <c r="F80">
        <v>391</v>
      </c>
      <c r="G80">
        <v>166</v>
      </c>
      <c r="H80" t="s">
        <v>146</v>
      </c>
      <c r="I80" t="s">
        <v>150</v>
      </c>
      <c r="J80" t="s">
        <v>148</v>
      </c>
      <c r="K80">
        <v>235</v>
      </c>
      <c r="L80" t="s">
        <v>155</v>
      </c>
      <c r="M80">
        <v>66.38</v>
      </c>
      <c r="N80" t="s">
        <v>160</v>
      </c>
      <c r="O80">
        <v>1</v>
      </c>
      <c r="P80" t="s">
        <v>166</v>
      </c>
      <c r="Q80">
        <v>5</v>
      </c>
      <c r="R80">
        <v>97165</v>
      </c>
      <c r="S80">
        <v>6</v>
      </c>
      <c r="T80" t="s">
        <v>170</v>
      </c>
      <c r="U80">
        <v>1746</v>
      </c>
      <c r="V80" t="s">
        <v>165</v>
      </c>
      <c r="W80">
        <v>10.37</v>
      </c>
      <c r="X80">
        <v>2.95</v>
      </c>
      <c r="Y80">
        <v>6.86</v>
      </c>
    </row>
    <row r="81" spans="1:25" x14ac:dyDescent="0.3">
      <c r="A81" t="s">
        <v>50</v>
      </c>
      <c r="B81">
        <v>2015</v>
      </c>
      <c r="C81" t="s">
        <v>103</v>
      </c>
      <c r="D81" t="s">
        <v>117</v>
      </c>
      <c r="E81">
        <v>7.3</v>
      </c>
      <c r="F81">
        <v>438</v>
      </c>
      <c r="G81">
        <v>122</v>
      </c>
      <c r="H81" t="s">
        <v>144</v>
      </c>
      <c r="I81" t="s">
        <v>150</v>
      </c>
      <c r="J81" t="s">
        <v>151</v>
      </c>
      <c r="K81">
        <v>192</v>
      </c>
      <c r="L81" t="s">
        <v>157</v>
      </c>
      <c r="M81">
        <v>128.12</v>
      </c>
      <c r="N81" t="s">
        <v>161</v>
      </c>
      <c r="O81">
        <v>9</v>
      </c>
      <c r="P81" t="s">
        <v>164</v>
      </c>
      <c r="Q81">
        <v>7.3</v>
      </c>
      <c r="R81">
        <v>99954</v>
      </c>
      <c r="S81">
        <v>6</v>
      </c>
      <c r="T81" t="s">
        <v>172</v>
      </c>
      <c r="U81">
        <v>2371</v>
      </c>
      <c r="V81" t="s">
        <v>163</v>
      </c>
      <c r="W81">
        <v>28.86</v>
      </c>
      <c r="X81">
        <v>4.16</v>
      </c>
      <c r="Y81">
        <v>12.36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DA196-4FA8-4E38-A3A1-6F32DC233CC0}">
  <dimension ref="A1"/>
  <sheetViews>
    <sheetView tabSelected="1" workbookViewId="0"/>
  </sheetViews>
  <sheetFormatPr defaultRowHeight="14.4" x14ac:dyDescent="0.3"/>
  <sheetData>
    <row r="1" spans="1:1" x14ac:dyDescent="0.3">
      <c r="A1">
        <v>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Sheet3</vt:lpstr>
      <vt:lpstr>Sheet4</vt:lpstr>
      <vt:lpstr>Sheet5</vt:lpstr>
      <vt:lpstr>Sheet6</vt:lpstr>
      <vt:lpstr>Sheet7</vt:lpstr>
      <vt:lpstr>Sheet8</vt:lpstr>
      <vt:lpstr>Sheet9</vt:lpstr>
      <vt:lpstr>Sheet10</vt:lpstr>
      <vt:lpstr>Sheet1</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 kishore</dc:creator>
  <cp:lastModifiedBy>Sai kishore</cp:lastModifiedBy>
  <cp:lastPrinted>2025-07-26T05:46:42Z</cp:lastPrinted>
  <dcterms:created xsi:type="dcterms:W3CDTF">2025-07-25T10:50:13Z</dcterms:created>
  <dcterms:modified xsi:type="dcterms:W3CDTF">2025-07-26T05:54:13Z</dcterms:modified>
</cp:coreProperties>
</file>